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rshan\my papers\Covid paper\final paper\"/>
    </mc:Choice>
  </mc:AlternateContent>
  <xr:revisionPtr revIDLastSave="0" documentId="13_ncr:1_{3C47A742-8AFA-4658-BCFD-C29DB0F251B8}" xr6:coauthVersionLast="47" xr6:coauthVersionMax="47" xr10:uidLastSave="{00000000-0000-0000-0000-000000000000}"/>
  <bookViews>
    <workbookView xWindow="-108" yWindow="-108" windowWidth="23256" windowHeight="12456" firstSheet="3" activeTab="7" xr2:uid="{8A1B374B-FEF2-4C3A-B063-E65F82DDF9AB}"/>
  </bookViews>
  <sheets>
    <sheet name="New" sheetId="11" r:id="rId1"/>
    <sheet name="Age Frequency" sheetId="3" r:id="rId2"/>
    <sheet name="Avg Age" sheetId="8" r:id="rId3"/>
    <sheet name="Gender frequency" sheetId="2" r:id="rId4"/>
    <sheet name="Findingss" sheetId="17" r:id="rId5"/>
    <sheet name="Severity Frequency" sheetId="4" r:id="rId6"/>
    <sheet name="CT SCORE FREQUENCY" sheetId="5" r:id="rId7"/>
    <sheet name="Lobar Distribution" sheetId="20" r:id="rId8"/>
  </sheets>
  <definedNames>
    <definedName name="_xlnm._FilterDatabase" localSheetId="6" hidden="1">'CT SCORE FREQUENCY'!$B$40:$B$318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7" l="1"/>
  <c r="E47" i="17"/>
  <c r="F41" i="17"/>
  <c r="E44" i="17"/>
  <c r="C47" i="17"/>
  <c r="D12" i="2"/>
  <c r="O282" i="11"/>
  <c r="O283" i="11"/>
  <c r="O284" i="11"/>
  <c r="O285" i="11"/>
  <c r="O286" i="11"/>
  <c r="N282" i="11"/>
  <c r="N283" i="11"/>
  <c r="N284" i="11"/>
  <c r="N285" i="11"/>
  <c r="N286" i="11"/>
  <c r="M282" i="11"/>
  <c r="M283" i="11"/>
  <c r="M284" i="11"/>
  <c r="M285" i="11"/>
  <c r="M286" i="11"/>
  <c r="L282" i="11"/>
  <c r="L283" i="11"/>
  <c r="L284" i="11"/>
  <c r="L285" i="11"/>
  <c r="L286" i="11"/>
  <c r="L281" i="11"/>
  <c r="M281" i="11"/>
  <c r="N281" i="11"/>
  <c r="O281" i="11"/>
  <c r="K282" i="11"/>
  <c r="K283" i="11"/>
  <c r="K284" i="11"/>
  <c r="K285" i="11"/>
  <c r="K286" i="11"/>
  <c r="K281" i="11"/>
  <c r="J279" i="11"/>
  <c r="I279" i="11"/>
  <c r="H279" i="11"/>
  <c r="G279" i="11"/>
  <c r="F279" i="11"/>
  <c r="R280" i="11"/>
  <c r="Q253" i="11"/>
  <c r="D11" i="2"/>
  <c r="D10" i="2"/>
  <c r="O287" i="11" l="1"/>
  <c r="O288" i="11" s="1"/>
  <c r="O289" i="11" s="1"/>
  <c r="N287" i="11"/>
  <c r="N288" i="11" s="1"/>
  <c r="N289" i="11" s="1"/>
  <c r="M287" i="11"/>
  <c r="M288" i="11" s="1"/>
  <c r="M289" i="11" s="1"/>
  <c r="L287" i="11"/>
  <c r="L288" i="11" s="1"/>
  <c r="L289" i="11" s="1"/>
  <c r="K287" i="11"/>
  <c r="K288" i="11" s="1"/>
  <c r="K289" i="11" s="1"/>
  <c r="C13" i="17"/>
  <c r="Q278" i="11"/>
  <c r="J278" i="11"/>
  <c r="I278" i="11"/>
  <c r="H278" i="11"/>
  <c r="G278" i="11"/>
  <c r="F278" i="11"/>
  <c r="Q277" i="11"/>
  <c r="J277" i="11"/>
  <c r="I277" i="11"/>
  <c r="H277" i="11"/>
  <c r="G277" i="11"/>
  <c r="F277" i="11"/>
  <c r="Q276" i="11"/>
  <c r="J276" i="11"/>
  <c r="I276" i="11"/>
  <c r="H276" i="11"/>
  <c r="G276" i="11"/>
  <c r="F276" i="11"/>
  <c r="Q275" i="11"/>
  <c r="J275" i="11"/>
  <c r="I275" i="11"/>
  <c r="H275" i="11"/>
  <c r="G275" i="11"/>
  <c r="F275" i="11"/>
  <c r="Q274" i="11"/>
  <c r="J274" i="11"/>
  <c r="I274" i="11"/>
  <c r="H274" i="11"/>
  <c r="G274" i="11"/>
  <c r="F274" i="11"/>
  <c r="Q273" i="11"/>
  <c r="J273" i="11"/>
  <c r="I273" i="11"/>
  <c r="H273" i="11"/>
  <c r="G273" i="11"/>
  <c r="F273" i="11"/>
  <c r="Q272" i="11"/>
  <c r="J272" i="11"/>
  <c r="I272" i="11"/>
  <c r="H272" i="11"/>
  <c r="G272" i="11"/>
  <c r="F272" i="11"/>
  <c r="Q271" i="11"/>
  <c r="J271" i="11"/>
  <c r="I271" i="11"/>
  <c r="H271" i="11"/>
  <c r="G271" i="11"/>
  <c r="F271" i="11"/>
  <c r="Q270" i="11"/>
  <c r="J270" i="11"/>
  <c r="I270" i="11"/>
  <c r="H270" i="11"/>
  <c r="G270" i="11"/>
  <c r="F270" i="11"/>
  <c r="Q269" i="11"/>
  <c r="J269" i="11"/>
  <c r="I269" i="11"/>
  <c r="H269" i="11"/>
  <c r="G269" i="11"/>
  <c r="F269" i="11"/>
  <c r="J268" i="11"/>
  <c r="I268" i="11"/>
  <c r="H268" i="11"/>
  <c r="G268" i="11"/>
  <c r="F268" i="11"/>
  <c r="J267" i="11"/>
  <c r="I267" i="11"/>
  <c r="H267" i="11"/>
  <c r="G267" i="11"/>
  <c r="F267" i="11"/>
  <c r="J266" i="11"/>
  <c r="I266" i="11"/>
  <c r="H266" i="11"/>
  <c r="G266" i="11"/>
  <c r="F266" i="11"/>
  <c r="J265" i="11"/>
  <c r="I265" i="11"/>
  <c r="H265" i="11"/>
  <c r="G265" i="11"/>
  <c r="F265" i="11"/>
  <c r="J264" i="11"/>
  <c r="I264" i="11"/>
  <c r="H264" i="11"/>
  <c r="G264" i="11"/>
  <c r="F264" i="11"/>
  <c r="J263" i="11"/>
  <c r="I263" i="11"/>
  <c r="H263" i="11"/>
  <c r="G263" i="11"/>
  <c r="F263" i="11"/>
  <c r="J262" i="11"/>
  <c r="I262" i="11"/>
  <c r="H262" i="11"/>
  <c r="G262" i="11"/>
  <c r="F262" i="11"/>
  <c r="J261" i="11"/>
  <c r="I261" i="11"/>
  <c r="H261" i="11"/>
  <c r="G261" i="11"/>
  <c r="F261" i="11"/>
  <c r="J260" i="11"/>
  <c r="I260" i="11"/>
  <c r="H260" i="11"/>
  <c r="G260" i="11"/>
  <c r="F260" i="11"/>
  <c r="J259" i="11"/>
  <c r="I259" i="11"/>
  <c r="H259" i="11"/>
  <c r="G259" i="11"/>
  <c r="F259" i="11"/>
  <c r="J258" i="11"/>
  <c r="I258" i="11"/>
  <c r="H258" i="11"/>
  <c r="G258" i="11"/>
  <c r="F258" i="11"/>
  <c r="J257" i="11"/>
  <c r="I257" i="11"/>
  <c r="H257" i="11"/>
  <c r="G257" i="11"/>
  <c r="F257" i="11"/>
  <c r="J256" i="11"/>
  <c r="I256" i="11"/>
  <c r="H256" i="11"/>
  <c r="G256" i="11"/>
  <c r="F256" i="11"/>
  <c r="J255" i="11"/>
  <c r="I255" i="11"/>
  <c r="H255" i="11"/>
  <c r="G255" i="11"/>
  <c r="F255" i="11"/>
  <c r="J254" i="11"/>
  <c r="I254" i="11"/>
  <c r="H254" i="11"/>
  <c r="G254" i="11"/>
  <c r="F254" i="11"/>
  <c r="J253" i="11"/>
  <c r="I253" i="11"/>
  <c r="H253" i="11"/>
  <c r="G253" i="11"/>
  <c r="F253" i="11"/>
  <c r="Q252" i="11"/>
  <c r="J252" i="11"/>
  <c r="I252" i="11"/>
  <c r="H252" i="11"/>
  <c r="G252" i="11"/>
  <c r="F252" i="11"/>
  <c r="Q251" i="11"/>
  <c r="J251" i="11"/>
  <c r="I251" i="11"/>
  <c r="H251" i="11"/>
  <c r="G251" i="11"/>
  <c r="F251" i="11"/>
  <c r="Q250" i="11"/>
  <c r="J250" i="11"/>
  <c r="I250" i="11"/>
  <c r="H250" i="11"/>
  <c r="G250" i="11"/>
  <c r="F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J228" i="11"/>
  <c r="I228" i="11"/>
  <c r="H228" i="11"/>
  <c r="G228" i="11"/>
  <c r="F228" i="11"/>
  <c r="Q227" i="11"/>
  <c r="J227" i="11"/>
  <c r="I227" i="11"/>
  <c r="H227" i="11"/>
  <c r="G227" i="11"/>
  <c r="F227" i="11"/>
  <c r="Q226" i="11"/>
  <c r="Q225" i="11"/>
  <c r="Q224" i="11"/>
  <c r="Q223" i="11"/>
  <c r="J223" i="11"/>
  <c r="I223" i="11"/>
  <c r="H223" i="11"/>
  <c r="G223" i="11"/>
  <c r="F223" i="11"/>
  <c r="Q222" i="11"/>
  <c r="J222" i="11"/>
  <c r="I222" i="11"/>
  <c r="H222" i="11"/>
  <c r="G222" i="11"/>
  <c r="F222" i="11"/>
  <c r="Q221" i="11"/>
  <c r="Q220" i="11"/>
  <c r="Q219" i="11"/>
  <c r="Q218" i="11"/>
  <c r="Q217" i="11"/>
  <c r="J217" i="11"/>
  <c r="I217" i="11"/>
  <c r="H217" i="11"/>
  <c r="G217" i="11"/>
  <c r="F217" i="11"/>
  <c r="Q216" i="11"/>
  <c r="J216" i="11"/>
  <c r="I216" i="11"/>
  <c r="H216" i="11"/>
  <c r="G216" i="11"/>
  <c r="F216" i="11"/>
  <c r="Q215" i="11"/>
  <c r="J215" i="11"/>
  <c r="I215" i="11"/>
  <c r="H215" i="11"/>
  <c r="G215" i="11"/>
  <c r="F215" i="11"/>
  <c r="Q214" i="11"/>
  <c r="J214" i="11"/>
  <c r="I214" i="11"/>
  <c r="H214" i="11"/>
  <c r="G214" i="11"/>
  <c r="F214" i="11"/>
  <c r="Q213" i="11"/>
  <c r="Q212" i="11"/>
  <c r="Q211" i="11"/>
  <c r="Q210" i="11"/>
  <c r="Q209" i="11"/>
  <c r="Q208" i="11"/>
  <c r="Q207" i="11"/>
  <c r="Q206" i="11"/>
  <c r="J206" i="11"/>
  <c r="I206" i="11"/>
  <c r="H206" i="11"/>
  <c r="G206" i="11"/>
  <c r="F206" i="11"/>
  <c r="Q205" i="11"/>
  <c r="J205" i="11"/>
  <c r="I205" i="11"/>
  <c r="H205" i="11"/>
  <c r="G205" i="11"/>
  <c r="F205" i="11"/>
  <c r="Q204" i="11"/>
  <c r="J204" i="11"/>
  <c r="I204" i="11"/>
  <c r="H204" i="11"/>
  <c r="G204" i="11"/>
  <c r="F204" i="11"/>
  <c r="Q203" i="11"/>
  <c r="J203" i="11"/>
  <c r="I203" i="11"/>
  <c r="H203" i="11"/>
  <c r="G203" i="11"/>
  <c r="F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J190" i="11"/>
  <c r="I190" i="11"/>
  <c r="H190" i="11"/>
  <c r="G190" i="11"/>
  <c r="F190" i="11"/>
  <c r="Q189" i="11"/>
  <c r="J189" i="11"/>
  <c r="I189" i="11"/>
  <c r="H189" i="11"/>
  <c r="G189" i="11"/>
  <c r="F189" i="11"/>
  <c r="Q188" i="11"/>
  <c r="J188" i="11"/>
  <c r="I188" i="11"/>
  <c r="H188" i="11"/>
  <c r="G188" i="11"/>
  <c r="F188" i="11"/>
  <c r="Q187" i="11"/>
  <c r="J187" i="11"/>
  <c r="I187" i="11"/>
  <c r="H187" i="11"/>
  <c r="G187" i="11"/>
  <c r="F187" i="11"/>
  <c r="Q186" i="11"/>
  <c r="J186" i="11"/>
  <c r="I186" i="11"/>
  <c r="H186" i="11"/>
  <c r="G186" i="11"/>
  <c r="F186" i="11"/>
  <c r="Q185" i="11"/>
  <c r="Q184" i="11"/>
  <c r="Q183" i="11"/>
  <c r="Q182" i="11"/>
  <c r="Q181" i="11"/>
  <c r="Q180" i="11"/>
  <c r="Q179" i="11"/>
  <c r="Q178" i="11"/>
  <c r="Q177" i="11"/>
  <c r="Q176" i="11"/>
  <c r="J176" i="11"/>
  <c r="I176" i="11"/>
  <c r="H176" i="11"/>
  <c r="G176" i="11"/>
  <c r="F176" i="11"/>
  <c r="Q175" i="11"/>
  <c r="J175" i="11"/>
  <c r="I175" i="11"/>
  <c r="H175" i="11"/>
  <c r="G175" i="11"/>
  <c r="F175" i="11"/>
  <c r="Q174" i="11"/>
  <c r="J174" i="11"/>
  <c r="I174" i="11"/>
  <c r="H174" i="11"/>
  <c r="G174" i="11"/>
  <c r="F174" i="11"/>
  <c r="Q173" i="11"/>
  <c r="J173" i="11"/>
  <c r="I173" i="11"/>
  <c r="H173" i="11"/>
  <c r="G173" i="11"/>
  <c r="F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J161" i="11"/>
  <c r="I161" i="11"/>
  <c r="H161" i="11"/>
  <c r="G161" i="11"/>
  <c r="F161" i="11"/>
  <c r="Q160" i="11"/>
  <c r="J160" i="11"/>
  <c r="I160" i="11"/>
  <c r="H160" i="11"/>
  <c r="G160" i="11"/>
  <c r="F160" i="11"/>
  <c r="Q159" i="11"/>
  <c r="J159" i="11"/>
  <c r="I159" i="11"/>
  <c r="H159" i="11"/>
  <c r="G159" i="11"/>
  <c r="F159" i="11"/>
  <c r="Q158" i="11"/>
  <c r="J158" i="11"/>
  <c r="I158" i="11"/>
  <c r="H158" i="11"/>
  <c r="G158" i="11"/>
  <c r="F158" i="11"/>
  <c r="Q157" i="11"/>
  <c r="J157" i="11"/>
  <c r="I157" i="11"/>
  <c r="H157" i="11"/>
  <c r="G157" i="11"/>
  <c r="F157" i="11"/>
  <c r="Q156" i="11"/>
  <c r="Q155" i="11"/>
  <c r="Q154" i="11"/>
  <c r="Q153" i="11"/>
  <c r="Q152" i="11"/>
  <c r="Q151" i="11"/>
  <c r="Q150" i="11"/>
  <c r="Q149" i="11"/>
  <c r="Q148" i="11"/>
  <c r="Q147" i="11"/>
  <c r="Q146" i="11"/>
  <c r="J146" i="11"/>
  <c r="I146" i="11"/>
  <c r="H146" i="11"/>
  <c r="G146" i="11"/>
  <c r="F146" i="11"/>
  <c r="Q145" i="11"/>
  <c r="J145" i="11"/>
  <c r="I145" i="11"/>
  <c r="H145" i="11"/>
  <c r="G145" i="11"/>
  <c r="F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J125" i="11"/>
  <c r="I125" i="11"/>
  <c r="H125" i="11"/>
  <c r="G125" i="11"/>
  <c r="F125" i="11"/>
  <c r="Q124" i="11"/>
  <c r="J124" i="11"/>
  <c r="I124" i="11"/>
  <c r="H124" i="11"/>
  <c r="G124" i="11"/>
  <c r="F124" i="11"/>
  <c r="Q123" i="11"/>
  <c r="J123" i="11"/>
  <c r="I123" i="11"/>
  <c r="H123" i="11"/>
  <c r="G123" i="11"/>
  <c r="F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J88" i="11"/>
  <c r="I88" i="11"/>
  <c r="H88" i="11"/>
  <c r="G88" i="11"/>
  <c r="F88" i="11"/>
  <c r="Q87" i="11"/>
  <c r="J87" i="11"/>
  <c r="I87" i="11"/>
  <c r="H87" i="11"/>
  <c r="G87" i="11"/>
  <c r="F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J68" i="11"/>
  <c r="I68" i="11"/>
  <c r="H68" i="11"/>
  <c r="G68" i="11"/>
  <c r="F68" i="11"/>
  <c r="Q67" i="11"/>
  <c r="J67" i="11"/>
  <c r="I67" i="11"/>
  <c r="H67" i="11"/>
  <c r="G67" i="11"/>
  <c r="F67" i="11"/>
  <c r="Q66" i="11"/>
  <c r="J66" i="11"/>
  <c r="I66" i="11"/>
  <c r="H66" i="11"/>
  <c r="G66" i="11"/>
  <c r="F66" i="11"/>
  <c r="Q65" i="11"/>
  <c r="J65" i="11"/>
  <c r="I65" i="11"/>
  <c r="H65" i="11"/>
  <c r="G65" i="11"/>
  <c r="F65" i="11"/>
  <c r="Q64" i="11"/>
  <c r="J64" i="11"/>
  <c r="I64" i="11"/>
  <c r="H64" i="11"/>
  <c r="G64" i="11"/>
  <c r="F64" i="11"/>
  <c r="Q63" i="11"/>
  <c r="J63" i="11"/>
  <c r="I63" i="11"/>
  <c r="H63" i="11"/>
  <c r="G63" i="11"/>
  <c r="F63" i="11"/>
  <c r="Q62" i="11"/>
  <c r="J62" i="11"/>
  <c r="I62" i="11"/>
  <c r="H62" i="11"/>
  <c r="G62" i="11"/>
  <c r="F62" i="11"/>
  <c r="Q61" i="11"/>
  <c r="J61" i="11"/>
  <c r="I61" i="11"/>
  <c r="H61" i="11"/>
  <c r="G61" i="11"/>
  <c r="F61" i="11"/>
  <c r="Q60" i="11"/>
  <c r="J60" i="11"/>
  <c r="I60" i="11"/>
  <c r="H60" i="11"/>
  <c r="G60" i="11"/>
  <c r="F60" i="11"/>
  <c r="Q59" i="11"/>
  <c r="J59" i="11"/>
  <c r="I59" i="11"/>
  <c r="H59" i="11"/>
  <c r="G59" i="11"/>
  <c r="F59" i="11"/>
  <c r="Q58" i="11"/>
  <c r="J58" i="11"/>
  <c r="I58" i="11"/>
  <c r="H58" i="11"/>
  <c r="G58" i="11"/>
  <c r="F58" i="11"/>
  <c r="Q57" i="11"/>
  <c r="J57" i="11"/>
  <c r="I57" i="11"/>
  <c r="H57" i="11"/>
  <c r="G57" i="11"/>
  <c r="F57" i="11"/>
  <c r="Q56" i="11"/>
  <c r="J56" i="11"/>
  <c r="I56" i="11"/>
  <c r="H56" i="11"/>
  <c r="G56" i="11"/>
  <c r="F56" i="11"/>
  <c r="Q55" i="11"/>
  <c r="J55" i="11"/>
  <c r="I55" i="11"/>
  <c r="H55" i="11"/>
  <c r="G55" i="11"/>
  <c r="F55" i="11"/>
  <c r="Q54" i="11"/>
  <c r="J54" i="11"/>
  <c r="I54" i="11"/>
  <c r="H54" i="11"/>
  <c r="G54" i="11"/>
  <c r="F54" i="11"/>
  <c r="Q53" i="11"/>
  <c r="J53" i="11"/>
  <c r="I53" i="11"/>
  <c r="H53" i="11"/>
  <c r="G53" i="11"/>
  <c r="F53" i="11"/>
  <c r="Q52" i="11"/>
  <c r="J52" i="11"/>
  <c r="I52" i="11"/>
  <c r="H52" i="11"/>
  <c r="G52" i="11"/>
  <c r="F52" i="11"/>
  <c r="Q51" i="11"/>
  <c r="J51" i="11"/>
  <c r="I51" i="11"/>
  <c r="H51" i="11"/>
  <c r="G51" i="11"/>
  <c r="F51" i="11"/>
  <c r="Q50" i="11"/>
  <c r="J50" i="11"/>
  <c r="I50" i="11"/>
  <c r="H50" i="11"/>
  <c r="G50" i="11"/>
  <c r="F50" i="11"/>
  <c r="Q49" i="11"/>
  <c r="J49" i="11"/>
  <c r="I49" i="11"/>
  <c r="H49" i="11"/>
  <c r="G49" i="11"/>
  <c r="F49" i="11"/>
  <c r="Q48" i="11"/>
  <c r="J48" i="11"/>
  <c r="I48" i="11"/>
  <c r="H48" i="11"/>
  <c r="G48" i="11"/>
  <c r="F48" i="11"/>
  <c r="Q47" i="11"/>
  <c r="J47" i="11"/>
  <c r="I47" i="11"/>
  <c r="H47" i="11"/>
  <c r="G47" i="11"/>
  <c r="F47" i="11"/>
  <c r="Q46" i="11"/>
  <c r="J46" i="11"/>
  <c r="I46" i="11"/>
  <c r="H46" i="11"/>
  <c r="G46" i="11"/>
  <c r="F46" i="11"/>
  <c r="Q45" i="11"/>
  <c r="J45" i="11"/>
  <c r="I45" i="11"/>
  <c r="H45" i="11"/>
  <c r="G45" i="11"/>
  <c r="F45" i="11"/>
  <c r="Q44" i="11"/>
  <c r="J44" i="11"/>
  <c r="I44" i="11"/>
  <c r="H44" i="11"/>
  <c r="G44" i="11"/>
  <c r="F44" i="11"/>
  <c r="Q43" i="11"/>
  <c r="J43" i="11"/>
  <c r="I43" i="11"/>
  <c r="H43" i="11"/>
  <c r="G43" i="11"/>
  <c r="F43" i="11"/>
  <c r="Q42" i="11"/>
  <c r="J42" i="11"/>
  <c r="I42" i="11"/>
  <c r="H42" i="11"/>
  <c r="G42" i="11"/>
  <c r="F42" i="11"/>
  <c r="Q41" i="11"/>
  <c r="J41" i="11"/>
  <c r="I41" i="11"/>
  <c r="H41" i="11"/>
  <c r="G41" i="11"/>
  <c r="F41" i="11"/>
  <c r="Q40" i="11"/>
  <c r="J40" i="11"/>
  <c r="I40" i="11"/>
  <c r="H40" i="11"/>
  <c r="G40" i="11"/>
  <c r="F40" i="11"/>
  <c r="Q39" i="11"/>
  <c r="J39" i="11"/>
  <c r="I39" i="11"/>
  <c r="H39" i="11"/>
  <c r="G39" i="11"/>
  <c r="F39" i="11"/>
  <c r="Q38" i="11"/>
  <c r="J38" i="11"/>
  <c r="I38" i="11"/>
  <c r="H38" i="11"/>
  <c r="G38" i="11"/>
  <c r="F38" i="11"/>
  <c r="Q37" i="11"/>
  <c r="J37" i="11"/>
  <c r="I37" i="11"/>
  <c r="H37" i="11"/>
  <c r="G37" i="11"/>
  <c r="F37" i="11"/>
  <c r="Q36" i="11"/>
  <c r="J36" i="11"/>
  <c r="I36" i="11"/>
  <c r="H36" i="11"/>
  <c r="G36" i="11"/>
  <c r="F36" i="11"/>
  <c r="Q35" i="11"/>
  <c r="J35" i="11"/>
  <c r="I35" i="11"/>
  <c r="H35" i="11"/>
  <c r="G35" i="11"/>
  <c r="F35" i="11"/>
  <c r="Q34" i="11"/>
  <c r="J34" i="11"/>
  <c r="I34" i="11"/>
  <c r="H34" i="11"/>
  <c r="G34" i="11"/>
  <c r="F34" i="11"/>
  <c r="Q33" i="11"/>
  <c r="J33" i="11"/>
  <c r="I33" i="11"/>
  <c r="H33" i="11"/>
  <c r="G33" i="11"/>
  <c r="F33" i="11"/>
  <c r="Q32" i="11"/>
  <c r="J32" i="11"/>
  <c r="I32" i="11"/>
  <c r="H32" i="11"/>
  <c r="G32" i="11"/>
  <c r="F32" i="11"/>
  <c r="Q31" i="11"/>
  <c r="J31" i="11"/>
  <c r="I31" i="11"/>
  <c r="H31" i="11"/>
  <c r="G31" i="11"/>
  <c r="F31" i="11"/>
  <c r="Q30" i="11"/>
  <c r="J30" i="11"/>
  <c r="I30" i="11"/>
  <c r="H30" i="11"/>
  <c r="G30" i="11"/>
  <c r="F30" i="11"/>
  <c r="Q29" i="11"/>
  <c r="J29" i="11"/>
  <c r="I29" i="11"/>
  <c r="H29" i="11"/>
  <c r="G29" i="11"/>
  <c r="F29" i="11"/>
  <c r="Q28" i="11"/>
  <c r="J28" i="11"/>
  <c r="I28" i="11"/>
  <c r="H28" i="11"/>
  <c r="G28" i="11"/>
  <c r="F28" i="11"/>
  <c r="Q27" i="11"/>
  <c r="J27" i="11"/>
  <c r="I27" i="11"/>
  <c r="H27" i="11"/>
  <c r="G27" i="11"/>
  <c r="F27" i="11"/>
  <c r="Q26" i="11"/>
  <c r="J26" i="11"/>
  <c r="I26" i="11"/>
  <c r="H26" i="11"/>
  <c r="G26" i="11"/>
  <c r="F26" i="11"/>
  <c r="Q25" i="11"/>
  <c r="J25" i="11"/>
  <c r="I25" i="11"/>
  <c r="H25" i="11"/>
  <c r="G25" i="11"/>
  <c r="F25" i="11"/>
  <c r="Q24" i="11"/>
  <c r="J24" i="11"/>
  <c r="I24" i="11"/>
  <c r="H24" i="11"/>
  <c r="G24" i="11"/>
  <c r="F24" i="11"/>
  <c r="Q23" i="11"/>
  <c r="J23" i="11"/>
  <c r="I23" i="11"/>
  <c r="H23" i="11"/>
  <c r="G23" i="11"/>
  <c r="F23" i="11"/>
  <c r="Q22" i="11"/>
  <c r="J22" i="11"/>
  <c r="I22" i="11"/>
  <c r="H22" i="11"/>
  <c r="G22" i="11"/>
  <c r="F22" i="11"/>
  <c r="Q21" i="11"/>
  <c r="J21" i="11"/>
  <c r="I21" i="11"/>
  <c r="H21" i="11"/>
  <c r="G21" i="11"/>
  <c r="F21" i="11"/>
  <c r="Q20" i="11"/>
  <c r="J20" i="11"/>
  <c r="I20" i="11"/>
  <c r="H20" i="11"/>
  <c r="G20" i="11"/>
  <c r="F20" i="11"/>
  <c r="Q19" i="11"/>
  <c r="J19" i="11"/>
  <c r="I19" i="11"/>
  <c r="H19" i="11"/>
  <c r="G19" i="11"/>
  <c r="F19" i="11"/>
  <c r="Q18" i="11"/>
  <c r="J18" i="11"/>
  <c r="I18" i="11"/>
  <c r="H18" i="11"/>
  <c r="G18" i="11"/>
  <c r="F18" i="11"/>
  <c r="Q17" i="11"/>
  <c r="J17" i="11"/>
  <c r="I17" i="11"/>
  <c r="H17" i="11"/>
  <c r="G17" i="11"/>
  <c r="F17" i="11"/>
  <c r="Q16" i="11"/>
  <c r="J16" i="11"/>
  <c r="I16" i="11"/>
  <c r="H16" i="11"/>
  <c r="G16" i="11"/>
  <c r="F16" i="11"/>
  <c r="Q15" i="11"/>
  <c r="J15" i="11"/>
  <c r="I15" i="11"/>
  <c r="H15" i="11"/>
  <c r="G15" i="11"/>
  <c r="F15" i="11"/>
  <c r="Q14" i="11"/>
  <c r="J14" i="11"/>
  <c r="I14" i="11"/>
  <c r="H14" i="11"/>
  <c r="G14" i="11"/>
  <c r="F14" i="11"/>
  <c r="Q13" i="11"/>
  <c r="J13" i="11"/>
  <c r="I13" i="11"/>
  <c r="H13" i="11"/>
  <c r="G13" i="11"/>
  <c r="F13" i="11"/>
  <c r="Q12" i="11"/>
  <c r="J12" i="11"/>
  <c r="I12" i="11"/>
  <c r="H12" i="11"/>
  <c r="G12" i="11"/>
  <c r="F12" i="11"/>
  <c r="Q11" i="11"/>
  <c r="J11" i="11"/>
  <c r="I11" i="11"/>
  <c r="H11" i="11"/>
  <c r="G11" i="11"/>
  <c r="F11" i="11"/>
  <c r="Q10" i="11"/>
  <c r="J10" i="11"/>
  <c r="I10" i="11"/>
  <c r="H10" i="11"/>
  <c r="G10" i="11"/>
  <c r="F10" i="11"/>
  <c r="Q9" i="11"/>
  <c r="J9" i="11"/>
  <c r="I9" i="11"/>
  <c r="H9" i="11"/>
  <c r="G9" i="11"/>
  <c r="F9" i="11"/>
  <c r="Q8" i="11"/>
  <c r="J8" i="11"/>
  <c r="I8" i="11"/>
  <c r="H8" i="11"/>
  <c r="G8" i="11"/>
  <c r="F8" i="11"/>
  <c r="Q7" i="11"/>
  <c r="J7" i="11"/>
  <c r="I7" i="11"/>
  <c r="H7" i="11"/>
  <c r="G7" i="11"/>
  <c r="F7" i="11"/>
  <c r="Q6" i="11"/>
  <c r="J6" i="11"/>
  <c r="I6" i="11"/>
  <c r="H6" i="11"/>
  <c r="G6" i="11"/>
  <c r="F6" i="11"/>
  <c r="Q5" i="11"/>
  <c r="J5" i="11"/>
  <c r="I5" i="11"/>
  <c r="H5" i="11"/>
  <c r="G5" i="11"/>
  <c r="F5" i="11"/>
  <c r="Q4" i="11"/>
  <c r="J4" i="11"/>
  <c r="I4" i="11"/>
  <c r="H4" i="11"/>
  <c r="G4" i="11"/>
  <c r="F4" i="11"/>
  <c r="Q3" i="11"/>
  <c r="J3" i="11"/>
  <c r="I3" i="11"/>
  <c r="H3" i="11"/>
  <c r="G3" i="11"/>
  <c r="F3" i="11"/>
  <c r="Q2" i="11"/>
  <c r="J2" i="11"/>
  <c r="I2" i="11"/>
  <c r="H2" i="11"/>
  <c r="G2" i="11"/>
  <c r="F2" i="11"/>
</calcChain>
</file>

<file path=xl/sharedStrings.xml><?xml version="1.0" encoding="utf-8"?>
<sst xmlns="http://schemas.openxmlformats.org/spreadsheetml/2006/main" count="1593" uniqueCount="394">
  <si>
    <t>age</t>
  </si>
  <si>
    <t>gender</t>
  </si>
  <si>
    <t>date</t>
  </si>
  <si>
    <t>right upper lobe</t>
  </si>
  <si>
    <t>right middle lobe</t>
  </si>
  <si>
    <t>right lower lobe</t>
  </si>
  <si>
    <t>left upeer lobe</t>
  </si>
  <si>
    <t>left lower lobe</t>
  </si>
  <si>
    <t>Total CT Score</t>
  </si>
  <si>
    <t>P1</t>
  </si>
  <si>
    <t>male</t>
  </si>
  <si>
    <t>multiple peripheral and central GGO and consolidation</t>
  </si>
  <si>
    <t>&gt;75%</t>
  </si>
  <si>
    <t>P2</t>
  </si>
  <si>
    <t>female</t>
  </si>
  <si>
    <t>multiple peripheral and central GGO</t>
  </si>
  <si>
    <t>P3</t>
  </si>
  <si>
    <t>Diffuse ground glass haziness and crazy paving</t>
  </si>
  <si>
    <t>P4</t>
  </si>
  <si>
    <t>multiple peripheral and central GGO with crazy paving</t>
  </si>
  <si>
    <t>consolidation</t>
  </si>
  <si>
    <t>P5</t>
  </si>
  <si>
    <t>multiple peripheral and central GGO with consolidation</t>
  </si>
  <si>
    <t>P6</t>
  </si>
  <si>
    <t>50-75%</t>
  </si>
  <si>
    <t>P7</t>
  </si>
  <si>
    <t>P8</t>
  </si>
  <si>
    <t>P9</t>
  </si>
  <si>
    <t>26-49%</t>
  </si>
  <si>
    <t>P10</t>
  </si>
  <si>
    <t>P11</t>
  </si>
  <si>
    <t>P12</t>
  </si>
  <si>
    <t>P13</t>
  </si>
  <si>
    <t>significant GGO inter and intra lobular septal thickening and crazy paving</t>
  </si>
  <si>
    <t>P14</t>
  </si>
  <si>
    <t>P15</t>
  </si>
  <si>
    <t>multiple peripheral and central GGO and peribronchial consolidation</t>
  </si>
  <si>
    <t>P16</t>
  </si>
  <si>
    <t>P17</t>
  </si>
  <si>
    <t>P18</t>
  </si>
  <si>
    <t>P19</t>
  </si>
  <si>
    <t>multiple peripheral and central GGO with peri consolidation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</si>
  <si>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</si>
  <si>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</si>
  <si>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</si>
  <si>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</si>
  <si>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</si>
  <si>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</si>
  <si>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</si>
  <si>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</si>
  <si>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</si>
  <si>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</si>
  <si>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5-25%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</si>
  <si>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</si>
  <si>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</si>
  <si>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</si>
  <si>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</si>
  <si>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</si>
  <si>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</si>
  <si>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</si>
  <si>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</si>
  <si>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</si>
  <si>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</si>
  <si>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multiple peripheral and perihilar GGO with septal thickening</t>
  </si>
  <si>
    <t>P40</t>
  </si>
  <si>
    <t>multiple peripheral and central GGO with peribronchial consolidation</t>
  </si>
  <si>
    <t>P41</t>
  </si>
  <si>
    <t>P42</t>
  </si>
  <si>
    <t>multiple peripheral GGO</t>
  </si>
  <si>
    <t>P43</t>
  </si>
  <si>
    <t>P44</t>
  </si>
  <si>
    <t>P45</t>
  </si>
  <si>
    <t>P46</t>
  </si>
  <si>
    <t>P47</t>
  </si>
  <si>
    <t>P48</t>
  </si>
  <si>
    <t>P49</t>
  </si>
  <si>
    <t>GGO</t>
  </si>
  <si>
    <t>&lt;5%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</si>
  <si>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</si>
  <si>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</si>
  <si>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</si>
  <si>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</si>
  <si>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</si>
  <si>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</si>
  <si>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</si>
  <si>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</si>
  <si>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</si>
  <si>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</si>
  <si>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</si>
  <si>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</si>
  <si>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</si>
  <si>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</si>
  <si>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</si>
  <si>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</si>
  <si>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</si>
  <si>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</si>
  <si>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</si>
  <si>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</si>
  <si>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</si>
  <si>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</si>
  <si>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</si>
  <si>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</si>
  <si>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</si>
  <si>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</si>
  <si>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</si>
  <si>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</si>
  <si>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</si>
  <si>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</si>
  <si>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</si>
  <si>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</si>
  <si>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</si>
  <si>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</si>
  <si>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fabrosis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</si>
  <si>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</si>
  <si>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</si>
  <si>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</si>
  <si>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</si>
  <si>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</si>
  <si>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</si>
  <si>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</si>
  <si>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</si>
  <si>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</si>
  <si>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</si>
  <si>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</si>
  <si>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</si>
  <si>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</si>
  <si>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</si>
  <si>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</si>
  <si>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</si>
  <si>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</si>
  <si>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multiple peripheral and central GGO with peribronichial consolidation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</si>
  <si>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</si>
  <si>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</si>
  <si>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</si>
  <si>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</si>
  <si>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</si>
  <si>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</si>
  <si>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</si>
  <si>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</si>
  <si>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</si>
  <si>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</si>
  <si>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 xml:space="preserve">multiple peripheral and central GGO 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</si>
  <si>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</si>
  <si>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</si>
  <si>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</si>
  <si>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</si>
  <si>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</si>
  <si>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</si>
  <si>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</si>
  <si>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</si>
  <si>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</si>
  <si>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</si>
  <si>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</si>
  <si>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</si>
  <si>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</si>
  <si>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</si>
  <si>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</si>
  <si>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</si>
  <si>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multiple peripheral subpleural GGO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</si>
  <si>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</si>
  <si>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</si>
  <si>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</si>
  <si>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</si>
  <si>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</si>
  <si>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</si>
  <si>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</si>
  <si>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</si>
  <si>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</si>
  <si>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</si>
  <si>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</si>
  <si>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</si>
  <si>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</si>
  <si>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</si>
  <si>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</si>
  <si>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</si>
  <si>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multiple peripheral and central GGO with interlobar septal thickening</t>
  </si>
  <si>
    <t>P143</t>
  </si>
  <si>
    <t>P144</t>
  </si>
  <si>
    <t>P145</t>
  </si>
  <si>
    <t>P146</t>
  </si>
  <si>
    <t>P147</t>
  </si>
  <si>
    <t>multiple GGO</t>
  </si>
  <si>
    <t>P148</t>
  </si>
  <si>
    <t>P149</t>
  </si>
  <si>
    <t>P150</t>
  </si>
  <si>
    <t>P151</t>
  </si>
  <si>
    <t>P152</t>
  </si>
  <si>
    <t>P153</t>
  </si>
  <si>
    <t>P154</t>
  </si>
  <si>
    <t>P155</t>
  </si>
  <si>
    <t>multiple patches of consolidation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</si>
  <si>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</si>
  <si>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</si>
  <si>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</si>
  <si>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</si>
  <si>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</si>
  <si>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</si>
  <si>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</si>
  <si>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</si>
  <si>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</si>
  <si>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</si>
  <si>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multiple peripheral GGO with consolidation</t>
  </si>
  <si>
    <t>P166</t>
  </si>
  <si>
    <t>P167</t>
  </si>
  <si>
    <t>P168</t>
  </si>
  <si>
    <t>P169</t>
  </si>
  <si>
    <t>P170</t>
  </si>
  <si>
    <t>P171</t>
  </si>
  <si>
    <t>multiple subtle peripheral GGO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</si>
  <si>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</si>
  <si>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</si>
  <si>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</si>
  <si>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</si>
  <si>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</si>
  <si>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</si>
  <si>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</si>
  <si>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</si>
  <si>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</si>
  <si>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</si>
  <si>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plumonary mucormycosis and cavitatory covid</t>
  </si>
  <si>
    <t>P182</t>
  </si>
  <si>
    <t>P183</t>
  </si>
  <si>
    <t>P184</t>
  </si>
  <si>
    <t>few peripheral GGO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</si>
  <si>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</si>
  <si>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</si>
  <si>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</si>
  <si>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</si>
  <si>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</si>
  <si>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</si>
  <si>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</si>
  <si>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</si>
  <si>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</si>
  <si>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</si>
  <si>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</si>
  <si>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</si>
  <si>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</si>
  <si>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</si>
  <si>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</si>
  <si>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</si>
  <si>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</si>
  <si>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</si>
  <si>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</si>
  <si>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</si>
  <si>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</si>
  <si>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</si>
  <si>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</si>
  <si>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</si>
  <si>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few subtle peripheral GGO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</si>
  <si>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</si>
  <si>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</si>
  <si>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</si>
  <si>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</si>
  <si>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</si>
  <si>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</si>
  <si>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</si>
  <si>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</si>
  <si>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</si>
  <si>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</si>
  <si>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</si>
  <si>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</si>
  <si>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</si>
  <si>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</si>
  <si>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</si>
  <si>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Few patchy peripheral GGO</t>
  </si>
  <si>
    <t>P224</t>
  </si>
  <si>
    <t>subtle peripheral GGO</t>
  </si>
  <si>
    <t>P225</t>
  </si>
  <si>
    <t xml:space="preserve">few subtle peripheral GGO 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</si>
  <si>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</si>
  <si>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</si>
  <si>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</si>
  <si>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</si>
  <si>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</si>
  <si>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</si>
  <si>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</si>
  <si>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</si>
  <si>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</si>
  <si>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few subtle peripheral and central GGO</t>
  </si>
  <si>
    <t>P235</t>
  </si>
  <si>
    <t>subtle GGO</t>
  </si>
  <si>
    <t>P236</t>
  </si>
  <si>
    <t>Few peripheral GGO</t>
  </si>
  <si>
    <t>P237</t>
  </si>
  <si>
    <t>P238</t>
  </si>
  <si>
    <t>few subtle cental GGO</t>
  </si>
  <si>
    <t>P239</t>
  </si>
  <si>
    <t>P240</t>
  </si>
  <si>
    <t>P241</t>
  </si>
  <si>
    <t>P242</t>
  </si>
  <si>
    <t>few subtle  peripheral groung glass opacities in  medical and lateral segements of right lower lobe lungparenchyma</t>
  </si>
  <si>
    <t>P243</t>
  </si>
  <si>
    <t>subtle subpleural GGO</t>
  </si>
  <si>
    <t>P244</t>
  </si>
  <si>
    <t>single subtle peripheral GGO</t>
  </si>
  <si>
    <t>P245</t>
  </si>
  <si>
    <t>few GGO</t>
  </si>
  <si>
    <t>P246</t>
  </si>
  <si>
    <t>P247</t>
  </si>
  <si>
    <t>solitary GGO</t>
  </si>
  <si>
    <t>P248</t>
  </si>
  <si>
    <t>P249</t>
  </si>
  <si>
    <t>Normal</t>
  </si>
  <si>
    <t>P250</t>
  </si>
  <si>
    <t>P251</t>
  </si>
  <si>
    <t>P252</t>
  </si>
  <si>
    <t>P253</t>
  </si>
  <si>
    <t>P254</t>
  </si>
  <si>
    <t>post covid fabrotic changes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</si>
  <si>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</si>
  <si>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</si>
  <si>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</si>
  <si>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</si>
  <si>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</si>
  <si>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</si>
  <si>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</si>
  <si>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</si>
  <si>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</si>
  <si>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</si>
  <si>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</si>
  <si>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</si>
  <si>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</si>
  <si>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</si>
  <si>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</si>
  <si>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</si>
  <si>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</si>
  <si>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</si>
  <si>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</si>
  <si>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</si>
  <si>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</si>
  <si>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</si>
  <si>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</si>
  <si>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</si>
  <si>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 xml:space="preserve">Bilateral peripheral groundglass opacities seen involving both lung </t>
  </si>
  <si>
    <t>Severity</t>
  </si>
  <si>
    <t>yes</t>
  </si>
  <si>
    <t>Bilateral patchy ill marginated groundglass appearances   seen in lungs predominantly in peripheral distribution</t>
  </si>
  <si>
    <t>Bilateral peripheral groundglass opacities seen involving both lung fields</t>
  </si>
  <si>
    <t>Bilateral peripheral ground glass opacities seen involving both lung fields</t>
  </si>
  <si>
    <r>
      <t>Bilateral patchy ill marginated groundglass appearances seen in lungs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predominantly in peripheral distribution</t>
    </r>
  </si>
  <si>
    <t xml:space="preserve">Bilateral peripheral groundglass opacities seen involving both lung fields </t>
  </si>
  <si>
    <t xml:space="preserve">Bilateral peripheral groundglass opacities with subpleural septations seen involving both lung </t>
  </si>
  <si>
    <t>Bilateral patchy ill marginated groundglass appearances seen in lungs</t>
  </si>
  <si>
    <t xml:space="preserve">Bilateral patchy ill marginated groundglass </t>
  </si>
  <si>
    <t>Bilateral patchy ill marginated groundglass appearances seen in lungs predominantly in peripheral distribution</t>
  </si>
  <si>
    <t xml:space="preserve">Peripheral groundglass opacities seen involving right upper and lower lobe </t>
  </si>
  <si>
    <t>findings</t>
  </si>
  <si>
    <t>label</t>
  </si>
  <si>
    <t>Row Labels</t>
  </si>
  <si>
    <t>Grand Total</t>
  </si>
  <si>
    <t>Count of gender</t>
  </si>
  <si>
    <t>10 &lt; age ≤ 20</t>
  </si>
  <si>
    <t>20 &lt; Age ≤ 30</t>
  </si>
  <si>
    <t>30 &lt; Age ≤ 40</t>
  </si>
  <si>
    <t>40 &lt; Age ≤ 50</t>
  </si>
  <si>
    <t>50 &lt; Age ≤ 60</t>
  </si>
  <si>
    <t>60 &lt; Age ≤ 70</t>
  </si>
  <si>
    <t>70 &lt; Age ≤ 80</t>
  </si>
  <si>
    <t>80 &lt;Age ≤ 90</t>
  </si>
  <si>
    <t>90 &lt; Age ≤ 100</t>
  </si>
  <si>
    <t>Age &gt; 100</t>
  </si>
  <si>
    <t>Sum of Frequency</t>
  </si>
  <si>
    <t>0 &lt; age ≤ 10</t>
  </si>
  <si>
    <t>mild</t>
  </si>
  <si>
    <t>moderate</t>
  </si>
  <si>
    <t>normal</t>
  </si>
  <si>
    <t>severe</t>
  </si>
  <si>
    <t>Count of Total CT Score</t>
  </si>
  <si>
    <t>Average of age</t>
  </si>
  <si>
    <t>Bilateral peripheral GGO</t>
  </si>
  <si>
    <t>peripheral GGO</t>
  </si>
  <si>
    <t>Total</t>
  </si>
  <si>
    <t>Findings</t>
  </si>
  <si>
    <t>Count</t>
  </si>
  <si>
    <t>Total CT images</t>
  </si>
  <si>
    <t>total</t>
  </si>
  <si>
    <t>severity</t>
  </si>
  <si>
    <t xml:space="preserve">affected </t>
  </si>
  <si>
    <t>Mild</t>
  </si>
  <si>
    <t>Moderate</t>
  </si>
  <si>
    <t>Severe</t>
  </si>
  <si>
    <t>Fibrosis</t>
  </si>
  <si>
    <t>fibrosis</t>
  </si>
  <si>
    <t>peripheral</t>
  </si>
  <si>
    <t>central</t>
  </si>
  <si>
    <t>RUL</t>
  </si>
  <si>
    <t>RML</t>
  </si>
  <si>
    <t>RLL</t>
  </si>
  <si>
    <t>LUL</t>
  </si>
  <si>
    <t>LLL</t>
  </si>
  <si>
    <t>few peripheral and central GGO with post covid fibrosis</t>
  </si>
  <si>
    <t>fibrosis with surrounding consolidation</t>
  </si>
  <si>
    <t xml:space="preserve">percentage </t>
  </si>
  <si>
    <t>Bilateral patchy ill marginated ground glass appearances seen in lungs predominantly in peripheral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</si>
</sst>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pivotButton="1" applyBorder="1"/>
    <xf numFmtId="0" fontId="0" fillId="0" borderId="6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1" fontId="0" fillId="0" borderId="0" xfId="0" applyNumberFormat="1"/>
    <xf numFmtId="9" fontId="0" fillId="0" borderId="0" xfId="0" applyNumberFormat="1" applyAlignment="1">
      <alignment horizontal="left"/>
    </xf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2" xfId="0" applyBorder="1"/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75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 cases analysis.xlsx]Age Frequency!PivotTable4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Frequency'!$C$5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Frequency'!$B$6:$B$17</c:f>
              <c:strCache>
                <c:ptCount val="11"/>
                <c:pt idx="0">
                  <c:v>0 &lt; age ≤ 10</c:v>
                </c:pt>
                <c:pt idx="1">
                  <c:v>10 &lt; age ≤ 20</c:v>
                </c:pt>
                <c:pt idx="2">
                  <c:v>20 &lt; Age ≤ 30</c:v>
                </c:pt>
                <c:pt idx="3">
                  <c:v>30 &lt; Age ≤ 40</c:v>
                </c:pt>
                <c:pt idx="4">
                  <c:v>40 &lt; Age ≤ 50</c:v>
                </c:pt>
                <c:pt idx="5">
                  <c:v>50 &lt; Age ≤ 60</c:v>
                </c:pt>
                <c:pt idx="6">
                  <c:v>60 &lt; Age ≤ 70</c:v>
                </c:pt>
                <c:pt idx="7">
                  <c:v>70 &lt; Age ≤ 80</c:v>
                </c:pt>
                <c:pt idx="8">
                  <c:v>80 &lt;Age ≤ 90</c:v>
                </c:pt>
                <c:pt idx="9">
                  <c:v>90 &lt; Age ≤ 100</c:v>
                </c:pt>
                <c:pt idx="10">
                  <c:v>Age &gt; 100</c:v>
                </c:pt>
              </c:strCache>
            </c:strRef>
          </c:cat>
          <c:val>
            <c:numRef>
              <c:f>'Age Frequency'!$C$6:$C$17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49</c:v>
                </c:pt>
                <c:pt idx="4">
                  <c:v>53</c:v>
                </c:pt>
                <c:pt idx="5">
                  <c:v>60</c:v>
                </c:pt>
                <c:pt idx="6">
                  <c:v>49</c:v>
                </c:pt>
                <c:pt idx="7">
                  <c:v>27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955-9849-B0CABAEC2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62821136"/>
        <c:axId val="1362829296"/>
      </c:barChart>
      <c:catAx>
        <c:axId val="136282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29296"/>
        <c:crosses val="autoZero"/>
        <c:auto val="1"/>
        <c:lblAlgn val="ctr"/>
        <c:lblOffset val="100"/>
        <c:noMultiLvlLbl val="0"/>
      </c:catAx>
      <c:valAx>
        <c:axId val="136282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 cases analysis.xlsx]Gender frequency!PivotTable1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frequency'!$C$9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BC-4430-B0EE-8A2250EBB0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BC-4430-B0EE-8A2250EBB0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frequency'!$B$10:$B$12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frequency'!$C$10:$C$12</c:f>
              <c:numCache>
                <c:formatCode>General</c:formatCode>
                <c:ptCount val="2"/>
                <c:pt idx="0">
                  <c:v>108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5-41D5-ABD8-2F15EF67F2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Findingss!$B$5:$B$12</c:f>
              <c:strCache>
                <c:ptCount val="8"/>
                <c:pt idx="0">
                  <c:v>Bilateral peripheral GGO</c:v>
                </c:pt>
                <c:pt idx="1">
                  <c:v>consolidation</c:v>
                </c:pt>
                <c:pt idx="2">
                  <c:v>fabrosis</c:v>
                </c:pt>
                <c:pt idx="3">
                  <c:v>multiple peripheral and central GGO</c:v>
                </c:pt>
                <c:pt idx="4">
                  <c:v>multiple peripheral and central GGO with consolidation</c:v>
                </c:pt>
                <c:pt idx="5">
                  <c:v>multiple peripheral GGO</c:v>
                </c:pt>
                <c:pt idx="6">
                  <c:v>normal</c:v>
                </c:pt>
                <c:pt idx="7">
                  <c:v>peripheral GGO</c:v>
                </c:pt>
              </c:strCache>
            </c:strRef>
          </c:cat>
          <c:val>
            <c:numRef>
              <c:f>Findingss!$C$5:$C$12</c:f>
              <c:numCache>
                <c:formatCode>General</c:formatCode>
                <c:ptCount val="8"/>
                <c:pt idx="0">
                  <c:v>19</c:v>
                </c:pt>
                <c:pt idx="1">
                  <c:v>2</c:v>
                </c:pt>
                <c:pt idx="2">
                  <c:v>16</c:v>
                </c:pt>
                <c:pt idx="3">
                  <c:v>99</c:v>
                </c:pt>
                <c:pt idx="4">
                  <c:v>68</c:v>
                </c:pt>
                <c:pt idx="5">
                  <c:v>26</c:v>
                </c:pt>
                <c:pt idx="6">
                  <c:v>14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7-4A6C-98E7-ED8930DF0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98271"/>
        <c:axId val="853610271"/>
      </c:barChart>
      <c:catAx>
        <c:axId val="85359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10271"/>
        <c:crosses val="autoZero"/>
        <c:auto val="1"/>
        <c:lblAlgn val="ctr"/>
        <c:lblOffset val="100"/>
        <c:noMultiLvlLbl val="0"/>
      </c:catAx>
      <c:valAx>
        <c:axId val="8536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Findingss!$B$30:$B$33</c:f>
              <c:strCache>
                <c:ptCount val="4"/>
                <c:pt idx="0">
                  <c:v>Normal</c:v>
                </c:pt>
                <c:pt idx="1">
                  <c:v>GGO</c:v>
                </c:pt>
                <c:pt idx="2">
                  <c:v>consolidation</c:v>
                </c:pt>
                <c:pt idx="3">
                  <c:v>fibrosis</c:v>
                </c:pt>
              </c:strCache>
            </c:strRef>
          </c:cat>
          <c:val>
            <c:numRef>
              <c:f>Findingss!$C$30:$C$33</c:f>
              <c:numCache>
                <c:formatCode>General</c:formatCode>
                <c:ptCount val="4"/>
                <c:pt idx="0">
                  <c:v>14</c:v>
                </c:pt>
                <c:pt idx="1">
                  <c:v>178</c:v>
                </c:pt>
                <c:pt idx="2">
                  <c:v>70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4-4C02-8517-AA4E90B4A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0453296"/>
        <c:axId val="650452336"/>
      </c:barChart>
      <c:catAx>
        <c:axId val="6504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2336"/>
        <c:crosses val="autoZero"/>
        <c:auto val="1"/>
        <c:lblAlgn val="ctr"/>
        <c:lblOffset val="100"/>
        <c:noMultiLvlLbl val="0"/>
      </c:catAx>
      <c:valAx>
        <c:axId val="6504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Frequency'!$C$9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'Severity Frequency'!$B$10:$B$15</c:f>
              <c:strCache>
                <c:ptCount val="5"/>
                <c:pt idx="0">
                  <c:v>Normal</c:v>
                </c:pt>
                <c:pt idx="1">
                  <c:v>Mild</c:v>
                </c:pt>
                <c:pt idx="2">
                  <c:v>Moderate</c:v>
                </c:pt>
                <c:pt idx="3">
                  <c:v>Severe</c:v>
                </c:pt>
                <c:pt idx="4">
                  <c:v>Fibrosis</c:v>
                </c:pt>
              </c:strCache>
            </c:strRef>
          </c:cat>
          <c:val>
            <c:numRef>
              <c:f>'Severity Frequency'!$C$10:$C$15</c:f>
              <c:numCache>
                <c:formatCode>General</c:formatCode>
                <c:ptCount val="6"/>
                <c:pt idx="0">
                  <c:v>14</c:v>
                </c:pt>
                <c:pt idx="1">
                  <c:v>88</c:v>
                </c:pt>
                <c:pt idx="2">
                  <c:v>112</c:v>
                </c:pt>
                <c:pt idx="3">
                  <c:v>48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52D-B7DB-B39F557A5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1713232"/>
        <c:axId val="891713712"/>
      </c:barChart>
      <c:catAx>
        <c:axId val="8917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13712"/>
        <c:crosses val="autoZero"/>
        <c:auto val="1"/>
        <c:lblAlgn val="ctr"/>
        <c:lblOffset val="100"/>
        <c:noMultiLvlLbl val="0"/>
      </c:catAx>
      <c:valAx>
        <c:axId val="8917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 cases analysis.xlsx]CT SCORE FREQUENCY!PivotTable13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 SCORE FREQUENCY'!$C$3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 SCORE FREQUENCY'!$B$4:$B$30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'CT SCORE FREQUENCY'!$C$4:$C$30</c:f>
              <c:numCache>
                <c:formatCode>General</c:formatCode>
                <c:ptCount val="26"/>
                <c:pt idx="0">
                  <c:v>30</c:v>
                </c:pt>
                <c:pt idx="1">
                  <c:v>7</c:v>
                </c:pt>
                <c:pt idx="2">
                  <c:v>14</c:v>
                </c:pt>
                <c:pt idx="3">
                  <c:v>5</c:v>
                </c:pt>
                <c:pt idx="4">
                  <c:v>6</c:v>
                </c:pt>
                <c:pt idx="5">
                  <c:v>11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21</c:v>
                </c:pt>
                <c:pt idx="11">
                  <c:v>17</c:v>
                </c:pt>
                <c:pt idx="12">
                  <c:v>20</c:v>
                </c:pt>
                <c:pt idx="13">
                  <c:v>19</c:v>
                </c:pt>
                <c:pt idx="14">
                  <c:v>16</c:v>
                </c:pt>
                <c:pt idx="15">
                  <c:v>4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B0B-BC0F-51BAD57FE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4006431"/>
        <c:axId val="684004031"/>
      </c:barChart>
      <c:catAx>
        <c:axId val="68400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04031"/>
        <c:crosses val="autoZero"/>
        <c:auto val="1"/>
        <c:lblAlgn val="ctr"/>
        <c:lblOffset val="100"/>
        <c:noMultiLvlLbl val="0"/>
      </c:catAx>
      <c:valAx>
        <c:axId val="6840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0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'Lobar Distribution'!$B$17:$F$17</c:f>
              <c:strCache>
                <c:ptCount val="5"/>
                <c:pt idx="0">
                  <c:v>RUL</c:v>
                </c:pt>
                <c:pt idx="1">
                  <c:v>RML</c:v>
                </c:pt>
                <c:pt idx="2">
                  <c:v>RLL</c:v>
                </c:pt>
                <c:pt idx="3">
                  <c:v>LUL</c:v>
                </c:pt>
                <c:pt idx="4">
                  <c:v>LLL</c:v>
                </c:pt>
              </c:strCache>
            </c:strRef>
          </c:cat>
          <c:val>
            <c:numRef>
              <c:f>'Lobar Distribution'!$B$18:$F$18</c:f>
              <c:numCache>
                <c:formatCode>0</c:formatCode>
                <c:ptCount val="5"/>
                <c:pt idx="0">
                  <c:v>90.322580645161295</c:v>
                </c:pt>
                <c:pt idx="1">
                  <c:v>85.483870967741936</c:v>
                </c:pt>
                <c:pt idx="2">
                  <c:v>97.177419354838705</c:v>
                </c:pt>
                <c:pt idx="3">
                  <c:v>88.306451612903231</c:v>
                </c:pt>
                <c:pt idx="4">
                  <c:v>93.951612903225808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A-4DC2-9904-8C058962FF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9326144"/>
        <c:axId val="819310784"/>
      </c:barChart>
      <c:catAx>
        <c:axId val="8193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10784"/>
        <c:crosses val="autoZero"/>
        <c:auto val="1"/>
        <c:lblAlgn val="ctr"/>
        <c:lblOffset val="100"/>
        <c:noMultiLvlLbl val="0"/>
      </c:catAx>
      <c:valAx>
        <c:axId val="8193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923924</xdr:colOff>
      <xdr:row>4</xdr:row>
      <xdr:rowOff>0</xdr:rowOff>
    </xdr:from>
    <xdr:to>
      <xdr:col>10</xdr:col>
      <xdr:colOff>257174</xdr:colOff>
      <xdr:row>24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CC7CE7-1974-6982-AC1D-E4818976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4</xdr:row>
      <xdr:rowOff>63816</xdr:rowOff>
    </xdr:from>
    <xdr:to>
      <xdr:col>16</xdr:col>
      <xdr:colOff>474344</xdr:colOff>
      <xdr:row>25</xdr:row>
      <xdr:rowOff>49529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F5BC9-85E8-1D7E-7B4B-7AAD721E4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4</xdr:row>
      <xdr:rowOff>4762</xdr:rowOff>
    </xdr:from>
    <xdr:to>
      <xdr:col>13</xdr:col>
      <xdr:colOff>114300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D0DCF-2426-126C-7BD4-EDF8CC8F3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24</xdr:row>
      <xdr:rowOff>171450</xdr:rowOff>
    </xdr:from>
    <xdr:to>
      <xdr:col>14</xdr:col>
      <xdr:colOff>533400</xdr:colOff>
      <xdr:row>39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04CFA-0BAC-E762-5BCF-F1D2F26E4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2</xdr:row>
      <xdr:rowOff>11430</xdr:rowOff>
    </xdr:from>
    <xdr:to>
      <xdr:col>10</xdr:col>
      <xdr:colOff>510540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DD201-7755-993C-5DA4-FB40CF36E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</xdr:row>
      <xdr:rowOff>190500</xdr:rowOff>
    </xdr:from>
    <xdr:to>
      <xdr:col>12</xdr:col>
      <xdr:colOff>593912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E719E-2346-A901-2D75-438FBEDE4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6</xdr:row>
      <xdr:rowOff>41910</xdr:rowOff>
    </xdr:from>
    <xdr:to>
      <xdr:col>15</xdr:col>
      <xdr:colOff>0</xdr:colOff>
      <xdr:row>21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426F03-F89B-F617-CED2-41C53D405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ib.Pagdiwale" refreshedDate="45481.691014583332" createdVersion="8" refreshedVersion="8" minRefreshableVersion="3" recordCount="278" xr:uid="{843D8AC6-42AE-4DC9-B585-15D728B5C44E}">
  <cacheSource type="worksheet">
    <worksheetSource ref="A1:X279" sheet="original"/>
  </cacheSource>
  <cacheFields count="25">
    <cacheField name="label" numFmtId="0">
      <sharedItems/>
    </cacheField>
    <cacheField name="label2" numFmtId="0">
      <sharedItems containsBlank="1"/>
    </cacheField>
    <cacheField name="Sr.No" numFmtId="0">
      <sharedItems containsString="0" containsBlank="1" containsNumber="1" containsInteger="1" minValue="1" maxValue="279"/>
    </cacheField>
    <cacheField name="name" numFmtId="0">
      <sharedItems/>
    </cacheField>
    <cacheField name="age" numFmtId="0">
      <sharedItems containsSemiMixedTypes="0" containsString="0" containsNumber="1" containsInteger="1" minValue="1" maxValue="87" count="68">
        <n v="57"/>
        <n v="45"/>
        <n v="43"/>
        <n v="66"/>
        <n v="34"/>
        <n v="46"/>
        <n v="70"/>
        <n v="50"/>
        <n v="42"/>
        <n v="72"/>
        <n v="78"/>
        <n v="40"/>
        <n v="60"/>
        <n v="35"/>
        <n v="52"/>
        <n v="51"/>
        <n v="58"/>
        <n v="56"/>
        <n v="53"/>
        <n v="63"/>
        <n v="62"/>
        <n v="68"/>
        <n v="30"/>
        <n v="39"/>
        <n v="26"/>
        <n v="49"/>
        <n v="25"/>
        <n v="27"/>
        <n v="47"/>
        <n v="32"/>
        <n v="82"/>
        <n v="65"/>
        <n v="55"/>
        <n v="73"/>
        <n v="61"/>
        <n v="69"/>
        <n v="41"/>
        <n v="75"/>
        <n v="71"/>
        <n v="77"/>
        <n v="76"/>
        <n v="48"/>
        <n v="59"/>
        <n v="38"/>
        <n v="28"/>
        <n v="31"/>
        <n v="33"/>
        <n v="24"/>
        <n v="67"/>
        <n v="86"/>
        <n v="37"/>
        <n v="36"/>
        <n v="20"/>
        <n v="64"/>
        <n v="29"/>
        <n v="13"/>
        <n v="8"/>
        <n v="21"/>
        <n v="54"/>
        <n v="87"/>
        <n v="83"/>
        <n v="22"/>
        <n v="1"/>
        <n v="19"/>
        <n v="16"/>
        <n v="18"/>
        <n v="80"/>
        <n v="81"/>
      </sharedItems>
    </cacheField>
    <cacheField name="gender" numFmtId="0">
      <sharedItems count="2">
        <s v="male"/>
        <s v="female"/>
      </sharedItems>
    </cacheField>
    <cacheField name="date" numFmtId="14">
      <sharedItems containsSemiMixedTypes="0" containsNonDate="0" containsDate="1" containsString="0" minDate="2021-01-05T00:00:00" maxDate="2023-02-28T00:00:00"/>
    </cacheField>
    <cacheField name="imaging features" numFmtId="0">
      <sharedItems containsBlank="1"/>
    </cacheField>
    <cacheField name="category" numFmtId="0">
      <sharedItems containsBlank="1"/>
    </cacheField>
    <cacheField name="findings" numFmtId="0">
      <sharedItems containsBlank="1" count="51">
        <s v="multiple peripheral and central GGO and consolidation"/>
        <s v="multiple peripheral and central GGO"/>
        <s v="Diffuse ground glass haziness and crazy paving"/>
        <s v="multiple peripheral and central GGO with crazy paving"/>
        <s v="multiple peripheral and central GGO with consolidation"/>
        <s v="significant GGO inter and intra lobular septal thickening and crazy paving"/>
        <s v="multiple peripheral and central GGO and peribronchial consolidation"/>
        <s v="multiple peripheral and central GGO with peri consolidation"/>
        <s v="multiple peripheral and perihilar GGO with septal thickening"/>
        <s v="multiple peripheral and central GGO with peribronchial consolidation"/>
        <s v="multiple peripheral GGO"/>
        <s v="consolidation"/>
        <s v="Bilateral peripheral groundglass opacities seen involving both lung "/>
        <s v="yes"/>
        <s v="multiple peripheral and central GGO with peribronichial consolidation"/>
        <m/>
        <s v="multiple peripheral and central GGO "/>
        <s v="Bilateral patchy ill marginated groundglass appearances   seen in lungs predominantly in peripheral distribution"/>
        <s v="multiple peripheral subpleural GGO"/>
        <s v="multiple peripheral and central GGO with interlobar septal thickening"/>
        <s v="multiple GGO"/>
        <s v="multiple patches of consolidation"/>
        <s v="Bilateral peripheral ground glass opacities seen involving both lung fields"/>
        <s v="Bilateral patchy ill marginated groundglass appearances seen in lungs predominantly in peripheral distribution"/>
        <s v="multiple peripheral GGO with consolidation"/>
        <s v="multiple subtle peripheral GGO"/>
        <s v="Bilateral peripheral groundglass opacities seen involving both lung fields"/>
        <s v="plumonary mucormycosis and cavitatory covid"/>
        <s v="few peripheral GGO"/>
        <s v="Bilateral peripheral groundglass opacities with subpleural septations seen involving both lung "/>
        <s v="Bilateral peripheral groundglass opacities seen involving both lung fields "/>
        <s v="Bilateral patchy ill marginated groundglass appearances seen in lungs"/>
        <s v="few subtle peripheral GGO"/>
        <s v="Bilateral patchy ill marginated groundglass "/>
        <s v="few peripheral and central GGO with post covid fabrosis"/>
        <s v="Few patchy peripheral GGO"/>
        <s v="subtle peripheral GGO"/>
        <s v="few subtle peripheral GGO "/>
        <s v="few subtle peripheral and central GGO"/>
        <s v="subtle GGO"/>
        <s v="few subtle cental GGO"/>
        <s v="Peripheral groundglass opacities seen involving right upper and lower lobe "/>
        <s v="few subtle  peripheral groung glass opacities in  medical and lateral segements of right lower lobe lungparenchyma"/>
        <s v="subtle subpleural GGO"/>
        <s v="single subtle peripheral GGO"/>
        <s v="few GGO"/>
        <s v="solitary GGO"/>
        <s v="fabrosis"/>
        <s v="post covid fabrotic changes"/>
        <s v="fabrosis with surrounding consolidation"/>
        <s v="COVID+ve 20days back"/>
      </sharedItems>
    </cacheField>
    <cacheField name="right upper lobe" numFmtId="0">
      <sharedItems containsBlank="1" containsMixedTypes="1" containsNumber="1" containsInteger="1" minValue="0" maxValue="0" count="7">
        <s v="&gt;75%"/>
        <s v="50-75%"/>
        <s v="26-49%"/>
        <s v="5-25%"/>
        <s v="&lt;5%"/>
        <m/>
        <n v="0"/>
      </sharedItems>
    </cacheField>
    <cacheField name="right middle lobe" numFmtId="0">
      <sharedItems containsBlank="1" containsMixedTypes="1" containsNumber="1" containsInteger="1" minValue="0" maxValue="0"/>
    </cacheField>
    <cacheField name="right lower lobe" numFmtId="0">
      <sharedItems containsBlank="1" containsMixedTypes="1" containsNumber="1" containsInteger="1" minValue="0" maxValue="0"/>
    </cacheField>
    <cacheField name="left upeer lobe" numFmtId="0">
      <sharedItems containsBlank="1" containsMixedTypes="1" containsNumber="1" containsInteger="1" minValue="0" maxValue="0"/>
    </cacheField>
    <cacheField name="left lower lobe" numFmtId="0">
      <sharedItems containsBlank="1" containsMixedTypes="1" containsNumber="1" containsInteger="1" minValue="0" maxValue="0"/>
    </cacheField>
    <cacheField name="right upp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right middle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right lower lobe2" numFmtId="0">
      <sharedItems containsBlank="1" containsMixedTypes="1" containsNumber="1" containsInteger="1" minValue="0" maxValue="5" count="8">
        <n v="5"/>
        <n v="4"/>
        <n v="3"/>
        <n v="2"/>
        <n v="1"/>
        <n v="0"/>
        <b v="0"/>
        <m/>
      </sharedItems>
    </cacheField>
    <cacheField name="left upe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left low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Total CT Score" numFmtId="0">
      <sharedItems containsString="0" containsBlank="1" containsNumber="1" containsInteger="1" minValue="0" maxValue="25" count="27"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  <m/>
      </sharedItems>
    </cacheField>
    <cacheField name="findings1" numFmtId="0">
      <sharedItems containsBlank="1" count="27">
        <s v="multiple peripheralGGO"/>
        <s v="DiffuseGGO"/>
        <s v="consolidation"/>
        <s v="Bilateral peripheral GGO "/>
        <s v="yes"/>
        <m/>
        <s v="multipleGGO"/>
        <s v="plumonary mucormycosis"/>
        <s v="few peripheral GGO"/>
        <s v="few subtle peripherGGO"/>
        <s v="few subtle peripheralGGO"/>
        <s v="few peripheralGGO"/>
        <s v="Few patchy peripheralGGO"/>
        <s v="subtle peripheralGGO"/>
        <s v="multiple subtle peripheralGGO"/>
        <s v="subtleGGO"/>
        <s v="few subtle cental GGO"/>
        <s v="subtle peripheral GGO"/>
        <s v="few subtle  peripheralGGO"/>
        <s v="subtle subpleural GGO"/>
        <s v="single subtle peripheralGGO"/>
        <s v="few GGO"/>
        <s v="solitary GGO"/>
        <s v="Normal"/>
        <s v="fabrosis"/>
        <s v="fabrosis "/>
        <s v="COVID+ve 20days back"/>
      </sharedItems>
    </cacheField>
    <cacheField name="findings2" numFmtId="0">
      <sharedItems containsBlank="1" count="3">
        <s v="centralGGO"/>
        <m/>
        <s v="GGO"/>
      </sharedItems>
    </cacheField>
    <cacheField name="findings3" numFmtId="0">
      <sharedItems containsBlank="1" count="5">
        <m/>
        <s v="consolidation"/>
        <s v="fabrosis"/>
        <s v="crazy paving"/>
        <s v="mucormycosis"/>
      </sharedItems>
    </cacheField>
    <cacheField name="Severity" numFmtId="0">
      <sharedItems count="5">
        <s v="severe"/>
        <s v="moderate"/>
        <s v="mild"/>
        <s v="normal"/>
        <s v="fabros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ib.Pagdiwale" refreshedDate="45481.708890509261" createdVersion="8" refreshedVersion="8" minRefreshableVersion="3" recordCount="11" xr:uid="{CB9C62A5-8199-4B31-840B-C74B7C47342A}">
  <cacheSource type="worksheet">
    <worksheetSource ref="B3:D14" sheet="Age Frequency"/>
  </cacheSource>
  <cacheFields count="3">
    <cacheField name="Range" numFmtId="0">
      <sharedItems count="11">
        <s v="0 &lt; age ≤ 10"/>
        <s v="10 &lt; age ≤ 20"/>
        <s v="20 &lt; Age ≤ 30"/>
        <s v="30 &lt; Age ≤ 40"/>
        <s v="40 &lt; Age ≤ 50"/>
        <s v="50 &lt; Age ≤ 60"/>
        <s v="60 &lt; Age ≤ 70"/>
        <s v="70 &lt; Age ≤ 80"/>
        <s v="80 &lt;Age ≤ 90"/>
        <s v="90 &lt; Age ≤ 100"/>
        <s v="Age &gt; 100"/>
      </sharedItems>
    </cacheField>
    <cacheField name="Bins" numFmtId="0">
      <sharedItems containsString="0" containsBlank="1" containsNumber="1" containsInteger="1" minValue="10" maxValue="100"/>
    </cacheField>
    <cacheField name="Frequency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tiplex" refreshedDate="45483.654320138892" createdVersion="8" refreshedVersion="8" minRefreshableVersion="3" recordCount="278" xr:uid="{622FFBB8-56EF-4A58-A222-CA3F028197A3}">
  <cacheSource type="worksheet">
    <worksheetSource ref="B40:B318" sheet="CT SCORE FREQUENCY"/>
  </cacheSource>
  <cacheFields count="1">
    <cacheField name="Total CT Score" numFmtId="0">
      <sharedItems containsSemiMixedTypes="0" containsString="0" containsNumber="1" containsInteger="1" minValue="0" maxValue="25" count="2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s v="P1"/>
    <s v="P1"/>
    <n v="4"/>
    <s v="AJIM NAWAJ RAHI"/>
    <x v="0"/>
    <x v="0"/>
    <d v="2021-06-30T00:00:00"/>
    <m/>
    <s v="VI"/>
    <x v="0"/>
    <x v="0"/>
    <s v="&gt;75%"/>
    <s v="&gt;75%"/>
    <s v="&gt;75%"/>
    <s v="&gt;75%"/>
    <x v="0"/>
    <x v="0"/>
    <x v="0"/>
    <x v="0"/>
    <x v="0"/>
    <x v="0"/>
    <x v="0"/>
    <x v="0"/>
    <x v="0"/>
    <x v="0"/>
  </r>
  <r>
    <s v="P2"/>
    <s v="P2"/>
    <n v="76"/>
    <s v="SANGITA KRISHNA ANDHALE"/>
    <x v="1"/>
    <x v="1"/>
    <d v="2021-05-25T00:00:00"/>
    <m/>
    <s v="VI"/>
    <x v="1"/>
    <x v="0"/>
    <s v="&gt;75%"/>
    <s v="&gt;75%"/>
    <s v="&gt;75%"/>
    <s v="&gt;75%"/>
    <x v="0"/>
    <x v="0"/>
    <x v="0"/>
    <x v="0"/>
    <x v="0"/>
    <x v="0"/>
    <x v="0"/>
    <x v="0"/>
    <x v="0"/>
    <x v="0"/>
  </r>
  <r>
    <s v="P3"/>
    <s v="P3"/>
    <n v="92"/>
    <s v="SUNITA ARJUN WALEKAR"/>
    <x v="2"/>
    <x v="1"/>
    <d v="2021-10-07T00:00:00"/>
    <m/>
    <s v="VI"/>
    <x v="2"/>
    <x v="0"/>
    <s v="&gt;75%"/>
    <s v="&gt;75%"/>
    <s v="&gt;75%"/>
    <s v="&gt;75%"/>
    <x v="0"/>
    <x v="0"/>
    <x v="0"/>
    <x v="0"/>
    <x v="0"/>
    <x v="0"/>
    <x v="1"/>
    <x v="1"/>
    <x v="0"/>
    <x v="0"/>
  </r>
  <r>
    <s v="P4"/>
    <s v="P4"/>
    <n v="220"/>
    <s v="SHILPA SANDESH SABLE"/>
    <x v="1"/>
    <x v="1"/>
    <d v="2021-04-06T00:00:00"/>
    <m/>
    <s v="V"/>
    <x v="3"/>
    <x v="0"/>
    <s v="&gt;75%"/>
    <s v="&gt;75%"/>
    <s v="&gt;75%"/>
    <s v="&gt;75%"/>
    <x v="0"/>
    <x v="0"/>
    <x v="0"/>
    <x v="0"/>
    <x v="0"/>
    <x v="0"/>
    <x v="0"/>
    <x v="0"/>
    <x v="1"/>
    <x v="0"/>
  </r>
  <r>
    <s v="P5"/>
    <s v="P5"/>
    <n v="266"/>
    <s v="RAFAT FIRDOS NAIM AHMED"/>
    <x v="3"/>
    <x v="1"/>
    <d v="2021-09-06T00:00:00"/>
    <m/>
    <s v="VI"/>
    <x v="4"/>
    <x v="0"/>
    <s v="&gt;75%"/>
    <s v="&gt;75%"/>
    <s v="&gt;75%"/>
    <s v="&gt;75%"/>
    <x v="0"/>
    <x v="0"/>
    <x v="0"/>
    <x v="0"/>
    <x v="0"/>
    <x v="0"/>
    <x v="0"/>
    <x v="0"/>
    <x v="0"/>
    <x v="0"/>
  </r>
  <r>
    <s v="P6"/>
    <s v="P6"/>
    <n v="238"/>
    <s v="VIJENDRA PRABHAKAR ARAK"/>
    <x v="4"/>
    <x v="0"/>
    <d v="2021-07-17T00:00:00"/>
    <m/>
    <s v="V"/>
    <x v="4"/>
    <x v="0"/>
    <s v="50-75%"/>
    <s v="&gt;75%"/>
    <s v="&gt;75%"/>
    <s v="&gt;75%"/>
    <x v="0"/>
    <x v="1"/>
    <x v="0"/>
    <x v="0"/>
    <x v="0"/>
    <x v="1"/>
    <x v="0"/>
    <x v="0"/>
    <x v="1"/>
    <x v="0"/>
  </r>
  <r>
    <s v="P7"/>
    <s v="P7"/>
    <n v="59"/>
    <s v="NIRANJAN NARAYANRAO NAYAK"/>
    <x v="5"/>
    <x v="0"/>
    <d v="2021-11-05T00:00:00"/>
    <m/>
    <s v="VI"/>
    <x v="4"/>
    <x v="0"/>
    <s v="&gt;75%"/>
    <s v="&gt;75%"/>
    <s v="50-75%"/>
    <s v="50-75%"/>
    <x v="0"/>
    <x v="0"/>
    <x v="0"/>
    <x v="1"/>
    <x v="1"/>
    <x v="2"/>
    <x v="0"/>
    <x v="0"/>
    <x v="0"/>
    <x v="0"/>
  </r>
  <r>
    <s v="P8"/>
    <s v="P8"/>
    <n v="148"/>
    <s v="GOPAL SHAMRAO JADHAV"/>
    <x v="6"/>
    <x v="0"/>
    <d v="2021-06-16T00:00:00"/>
    <m/>
    <s v="V"/>
    <x v="1"/>
    <x v="1"/>
    <s v="&gt;75%"/>
    <s v="&gt;75%"/>
    <s v="50-75%"/>
    <s v="&gt;75%"/>
    <x v="1"/>
    <x v="0"/>
    <x v="0"/>
    <x v="1"/>
    <x v="0"/>
    <x v="2"/>
    <x v="0"/>
    <x v="0"/>
    <x v="0"/>
    <x v="0"/>
  </r>
  <r>
    <s v="P9"/>
    <s v="P9"/>
    <n v="79"/>
    <s v="SAVITA RAOSAHEB RODGE"/>
    <x v="7"/>
    <x v="1"/>
    <d v="2021-05-28T00:00:00"/>
    <m/>
    <s v="VI"/>
    <x v="1"/>
    <x v="0"/>
    <s v="&gt;75%"/>
    <s v="&gt;75%"/>
    <s v="26-49%"/>
    <s v="50-75%"/>
    <x v="0"/>
    <x v="0"/>
    <x v="0"/>
    <x v="2"/>
    <x v="1"/>
    <x v="3"/>
    <x v="0"/>
    <x v="0"/>
    <x v="0"/>
    <x v="0"/>
  </r>
  <r>
    <s v="P10"/>
    <s v="P10"/>
    <n v="176"/>
    <s v="MOHD SHAHED SHAFI SHAIKH"/>
    <x v="8"/>
    <x v="0"/>
    <d v="2021-01-06T00:00:00"/>
    <m/>
    <s v="V"/>
    <x v="4"/>
    <x v="1"/>
    <s v="50-75%"/>
    <s v="&gt;75%"/>
    <s v="50-75%"/>
    <s v="&gt;75%"/>
    <x v="1"/>
    <x v="1"/>
    <x v="0"/>
    <x v="1"/>
    <x v="0"/>
    <x v="3"/>
    <x v="0"/>
    <x v="0"/>
    <x v="0"/>
    <x v="0"/>
  </r>
  <r>
    <s v="P11"/>
    <s v="P11"/>
    <n v="180"/>
    <s v="NAMDEV KASHINATH BORUDE"/>
    <x v="9"/>
    <x v="0"/>
    <d v="2021-09-30T00:00:00"/>
    <m/>
    <s v="V"/>
    <x v="1"/>
    <x v="0"/>
    <s v="&gt;75%"/>
    <s v="&gt;75%"/>
    <s v="26-49%"/>
    <s v="50-75%"/>
    <x v="0"/>
    <x v="0"/>
    <x v="0"/>
    <x v="2"/>
    <x v="1"/>
    <x v="3"/>
    <x v="0"/>
    <x v="0"/>
    <x v="0"/>
    <x v="0"/>
  </r>
  <r>
    <s v="P12"/>
    <s v="P12"/>
    <n v="187"/>
    <s v="NOORJAHA BEGUM_x000a_MOHAMMAD ILIYAS"/>
    <x v="1"/>
    <x v="1"/>
    <d v="2021-02-05T00:00:00"/>
    <m/>
    <s v="V"/>
    <x v="4"/>
    <x v="1"/>
    <s v="&gt;75%"/>
    <s v="50-75%"/>
    <s v="50-75%"/>
    <s v="&gt;75%"/>
    <x v="1"/>
    <x v="0"/>
    <x v="1"/>
    <x v="1"/>
    <x v="0"/>
    <x v="3"/>
    <x v="0"/>
    <x v="0"/>
    <x v="1"/>
    <x v="0"/>
  </r>
  <r>
    <s v="P13"/>
    <s v="P13"/>
    <n v="265"/>
    <s v="PANCHFULABAI NILKANTHRAO_x000a_GARJE"/>
    <x v="10"/>
    <x v="1"/>
    <d v="2021-02-06T00:00:00"/>
    <s v="breathlessness"/>
    <s v="VI"/>
    <x v="5"/>
    <x v="0"/>
    <s v="50-75%"/>
    <s v="&gt;75%"/>
    <s v="50-75%"/>
    <s v="50-75%"/>
    <x v="0"/>
    <x v="1"/>
    <x v="0"/>
    <x v="1"/>
    <x v="1"/>
    <x v="3"/>
    <x v="0"/>
    <x v="0"/>
    <x v="0"/>
    <x v="0"/>
  </r>
  <r>
    <s v="P14"/>
    <s v="P14"/>
    <n v="122"/>
    <s v="ARJUN MULCHAND RATHOD"/>
    <x v="1"/>
    <x v="0"/>
    <d v="2021-06-16T00:00:00"/>
    <m/>
    <s v="V"/>
    <x v="0"/>
    <x v="1"/>
    <s v="50-75%"/>
    <s v="&gt;75%"/>
    <s v="26-49%"/>
    <s v="&gt;75%"/>
    <x v="1"/>
    <x v="1"/>
    <x v="0"/>
    <x v="2"/>
    <x v="0"/>
    <x v="4"/>
    <x v="0"/>
    <x v="0"/>
    <x v="0"/>
    <x v="0"/>
  </r>
  <r>
    <s v="P15"/>
    <s v="P15"/>
    <n v="136"/>
    <s v="CHAGDEV NARHARI SHINDE "/>
    <x v="11"/>
    <x v="0"/>
    <d v="2021-05-31T00:00:00"/>
    <m/>
    <s v="V"/>
    <x v="6"/>
    <x v="0"/>
    <s v="50-75%"/>
    <s v="50-75%"/>
    <s v="50-75%"/>
    <s v="50-75%"/>
    <x v="0"/>
    <x v="1"/>
    <x v="1"/>
    <x v="1"/>
    <x v="1"/>
    <x v="4"/>
    <x v="0"/>
    <x v="0"/>
    <x v="1"/>
    <x v="0"/>
  </r>
  <r>
    <s v="P16"/>
    <s v="P16"/>
    <n v="183"/>
    <s v="NANDA KISHOR RATHOR"/>
    <x v="12"/>
    <x v="1"/>
    <d v="2021-05-24T00:00:00"/>
    <m/>
    <s v="V"/>
    <x v="1"/>
    <x v="1"/>
    <s v="26-49%"/>
    <s v="&gt;75%"/>
    <s v="50-75%"/>
    <s v="&gt;75%"/>
    <x v="1"/>
    <x v="2"/>
    <x v="0"/>
    <x v="1"/>
    <x v="0"/>
    <x v="4"/>
    <x v="0"/>
    <x v="0"/>
    <x v="0"/>
    <x v="0"/>
  </r>
  <r>
    <s v="P17"/>
    <s v="P17"/>
    <n v="201"/>
    <s v="RAMABAI JANARDHAN CHAVAN "/>
    <x v="9"/>
    <x v="1"/>
    <d v="2021-01-06T00:00:00"/>
    <m/>
    <s v="V"/>
    <x v="4"/>
    <x v="1"/>
    <s v="&gt;75%"/>
    <s v="50-75%"/>
    <s v="26-49%"/>
    <s v="&gt;75%"/>
    <x v="1"/>
    <x v="0"/>
    <x v="1"/>
    <x v="2"/>
    <x v="0"/>
    <x v="4"/>
    <x v="0"/>
    <x v="0"/>
    <x v="1"/>
    <x v="0"/>
  </r>
  <r>
    <s v="P18"/>
    <s v="P18"/>
    <n v="33"/>
    <s v="YASIN AKBAR SAYYED"/>
    <x v="13"/>
    <x v="0"/>
    <d v="2021-06-23T00:00:00"/>
    <m/>
    <s v="VI"/>
    <x v="1"/>
    <x v="1"/>
    <s v="&gt;75%"/>
    <s v="26-49%"/>
    <s v="50-75%"/>
    <s v="50-75%"/>
    <x v="1"/>
    <x v="0"/>
    <x v="2"/>
    <x v="1"/>
    <x v="1"/>
    <x v="5"/>
    <x v="0"/>
    <x v="0"/>
    <x v="0"/>
    <x v="0"/>
  </r>
  <r>
    <s v="P19"/>
    <s v="P19"/>
    <n v="51"/>
    <s v="MILIND DATTATRAY RUDRAWAR"/>
    <x v="14"/>
    <x v="0"/>
    <d v="2021-07-06T00:00:00"/>
    <m/>
    <s v="VI"/>
    <x v="7"/>
    <x v="1"/>
    <s v="50-75%"/>
    <s v="50-75%"/>
    <s v="50-75%"/>
    <s v="50-75%"/>
    <x v="1"/>
    <x v="1"/>
    <x v="1"/>
    <x v="1"/>
    <x v="1"/>
    <x v="5"/>
    <x v="0"/>
    <x v="0"/>
    <x v="1"/>
    <x v="0"/>
  </r>
  <r>
    <s v="P20"/>
    <s v="P20"/>
    <n v="67"/>
    <s v="RAJU KAUTIK JADHAV"/>
    <x v="15"/>
    <x v="0"/>
    <d v="2021-02-04T00:00:00"/>
    <m/>
    <s v="VI"/>
    <x v="1"/>
    <x v="2"/>
    <s v="50-75%"/>
    <s v="&gt;75%"/>
    <s v="26-49%"/>
    <s v="&gt;75%"/>
    <x v="2"/>
    <x v="1"/>
    <x v="0"/>
    <x v="2"/>
    <x v="0"/>
    <x v="5"/>
    <x v="0"/>
    <x v="0"/>
    <x v="0"/>
    <x v="0"/>
  </r>
  <r>
    <s v="P21"/>
    <s v="P21"/>
    <n v="89"/>
    <s v="SITARAM ABAJI KHARSADE"/>
    <x v="16"/>
    <x v="0"/>
    <d v="2021-07-26T00:00:00"/>
    <m/>
    <s v="VI"/>
    <x v="1"/>
    <x v="1"/>
    <s v="26-49%"/>
    <s v="&gt;75%"/>
    <s v="50-75%"/>
    <s v="50-75%"/>
    <x v="1"/>
    <x v="2"/>
    <x v="0"/>
    <x v="1"/>
    <x v="1"/>
    <x v="5"/>
    <x v="0"/>
    <x v="0"/>
    <x v="1"/>
    <x v="0"/>
  </r>
  <r>
    <s v="P22"/>
    <s v="P22"/>
    <n v="18"/>
    <s v="DEVIDAS KANIRAM ADHE"/>
    <x v="17"/>
    <x v="0"/>
    <d v="2021-05-14T00:00:00"/>
    <m/>
    <s v="VI"/>
    <x v="1"/>
    <x v="2"/>
    <s v="26-49%"/>
    <s v="&gt;75%"/>
    <s v="26-49%"/>
    <s v="&gt;75%"/>
    <x v="2"/>
    <x v="2"/>
    <x v="0"/>
    <x v="2"/>
    <x v="0"/>
    <x v="6"/>
    <x v="0"/>
    <x v="0"/>
    <x v="0"/>
    <x v="0"/>
  </r>
  <r>
    <s v="P23"/>
    <s v="P23"/>
    <n v="28"/>
    <s v="GORAKHNATH SHESHARAO_x000a_FASATE"/>
    <x v="18"/>
    <x v="0"/>
    <d v="2021-03-11T00:00:00"/>
    <m/>
    <s v="VI"/>
    <x v="1"/>
    <x v="1"/>
    <s v="50-75%"/>
    <s v="50-75%"/>
    <s v="26-49%"/>
    <s v="50-75%"/>
    <x v="1"/>
    <x v="1"/>
    <x v="1"/>
    <x v="2"/>
    <x v="1"/>
    <x v="6"/>
    <x v="0"/>
    <x v="0"/>
    <x v="1"/>
    <x v="0"/>
  </r>
  <r>
    <s v="P24"/>
    <s v="P24"/>
    <n v="69"/>
    <s v="RAMESH LALJI SORATHIYA"/>
    <x v="0"/>
    <x v="0"/>
    <d v="2021-05-13T00:00:00"/>
    <m/>
    <s v="VI"/>
    <x v="1"/>
    <x v="2"/>
    <s v="26-49%"/>
    <s v="&gt;75%"/>
    <s v="26-49%"/>
    <s v="&gt;75%"/>
    <x v="2"/>
    <x v="2"/>
    <x v="0"/>
    <x v="2"/>
    <x v="0"/>
    <x v="6"/>
    <x v="0"/>
    <x v="0"/>
    <x v="0"/>
    <x v="0"/>
  </r>
  <r>
    <s v="P25"/>
    <s v="P25"/>
    <n v="174"/>
    <s v="MIRABAI AJMAL PAWAR"/>
    <x v="12"/>
    <x v="1"/>
    <d v="2021-06-16T00:00:00"/>
    <m/>
    <s v="V"/>
    <x v="4"/>
    <x v="2"/>
    <s v="50-75%"/>
    <s v="50-75%"/>
    <s v="50-75%"/>
    <s v="50-75%"/>
    <x v="2"/>
    <x v="1"/>
    <x v="1"/>
    <x v="1"/>
    <x v="1"/>
    <x v="6"/>
    <x v="0"/>
    <x v="0"/>
    <x v="0"/>
    <x v="0"/>
  </r>
  <r>
    <s v="P26"/>
    <s v="P26"/>
    <n v="213"/>
    <s v="SARASWATI DIGAMBAR_x000a_WAGHMARE"/>
    <x v="19"/>
    <x v="1"/>
    <d v="2021-05-29T00:00:00"/>
    <m/>
    <s v="V"/>
    <x v="4"/>
    <x v="2"/>
    <s v="&gt;75%"/>
    <s v="26-49%"/>
    <s v="50-75%"/>
    <s v="50-75%"/>
    <x v="2"/>
    <x v="0"/>
    <x v="2"/>
    <x v="1"/>
    <x v="1"/>
    <x v="6"/>
    <x v="0"/>
    <x v="0"/>
    <x v="0"/>
    <x v="0"/>
  </r>
  <r>
    <s v="P27"/>
    <s v="P27"/>
    <n v="241"/>
    <s v="VISHRAM HARJI DHOKAR"/>
    <x v="20"/>
    <x v="0"/>
    <d v="2021-03-06T00:00:00"/>
    <m/>
    <s v="V"/>
    <x v="4"/>
    <x v="1"/>
    <s v="50-75%"/>
    <s v="50-75%"/>
    <s v="50-75%"/>
    <s v="26-49%"/>
    <x v="1"/>
    <x v="1"/>
    <x v="1"/>
    <x v="1"/>
    <x v="2"/>
    <x v="6"/>
    <x v="0"/>
    <x v="0"/>
    <x v="0"/>
    <x v="0"/>
  </r>
  <r>
    <s v="P28"/>
    <s v="P28"/>
    <n v="52"/>
    <s v="VATASALABAI MAHADEO PATIL"/>
    <x v="21"/>
    <x v="1"/>
    <d v="2021-05-28T00:00:00"/>
    <m/>
    <s v="VI"/>
    <x v="4"/>
    <x v="1"/>
    <s v="26-49%"/>
    <s v="50-75%"/>
    <s v="26-49%"/>
    <s v="50-75%"/>
    <x v="1"/>
    <x v="2"/>
    <x v="1"/>
    <x v="2"/>
    <x v="1"/>
    <x v="7"/>
    <x v="0"/>
    <x v="0"/>
    <x v="0"/>
    <x v="0"/>
  </r>
  <r>
    <s v="P29"/>
    <s v="P29"/>
    <n v="66"/>
    <s v="RAJENDRA ARJUN SALUNKE"/>
    <x v="22"/>
    <x v="0"/>
    <d v="2021-05-22T00:00:00"/>
    <m/>
    <s v="VI"/>
    <x v="4"/>
    <x v="3"/>
    <s v="26-49%"/>
    <s v="&gt;75%"/>
    <s v="26-49%"/>
    <s v="&gt;75%"/>
    <x v="3"/>
    <x v="2"/>
    <x v="0"/>
    <x v="2"/>
    <x v="0"/>
    <x v="7"/>
    <x v="0"/>
    <x v="0"/>
    <x v="0"/>
    <x v="0"/>
  </r>
  <r>
    <s v="P30"/>
    <s v="P30"/>
    <n v="82"/>
    <s v="SHANTABAI YADAV PATOLE"/>
    <x v="12"/>
    <x v="1"/>
    <d v="2021-08-15T00:00:00"/>
    <m/>
    <s v="VI"/>
    <x v="4"/>
    <x v="1"/>
    <s v="26-49%"/>
    <s v="50-75%"/>
    <s v="26-49%"/>
    <s v="50-75%"/>
    <x v="1"/>
    <x v="2"/>
    <x v="1"/>
    <x v="2"/>
    <x v="1"/>
    <x v="7"/>
    <x v="0"/>
    <x v="0"/>
    <x v="0"/>
    <x v="0"/>
  </r>
  <r>
    <s v="P31"/>
    <s v="P31"/>
    <n v="151"/>
    <s v="HIRAMAN SALUBA JADHAV"/>
    <x v="6"/>
    <x v="0"/>
    <d v="2021-09-07T00:00:00"/>
    <m/>
    <s v="V"/>
    <x v="1"/>
    <x v="3"/>
    <s v="26-49%"/>
    <s v="&gt;75%"/>
    <s v="26-49%"/>
    <s v="&gt;75%"/>
    <x v="3"/>
    <x v="2"/>
    <x v="0"/>
    <x v="2"/>
    <x v="0"/>
    <x v="7"/>
    <x v="0"/>
    <x v="0"/>
    <x v="0"/>
    <x v="0"/>
  </r>
  <r>
    <s v="P32"/>
    <s v="P32"/>
    <n v="159"/>
    <s v="KALEEM KHAN ABBAS KHAN_x000a_PATHAN"/>
    <x v="23"/>
    <x v="0"/>
    <d v="2021-09-09T00:00:00"/>
    <m/>
    <s v="V"/>
    <x v="0"/>
    <x v="3"/>
    <s v="26-49%"/>
    <s v="&gt;75%"/>
    <s v="26-49%"/>
    <s v="&gt;75%"/>
    <x v="3"/>
    <x v="2"/>
    <x v="0"/>
    <x v="2"/>
    <x v="0"/>
    <x v="7"/>
    <x v="0"/>
    <x v="0"/>
    <x v="0"/>
    <x v="0"/>
  </r>
  <r>
    <s v="P33"/>
    <s v="P33"/>
    <n v="23"/>
    <s v="GANESH PANDURANGRAO_x000a_KULKARNI"/>
    <x v="17"/>
    <x v="0"/>
    <d v="2021-04-21T00:00:00"/>
    <m/>
    <s v="VI"/>
    <x v="0"/>
    <x v="2"/>
    <s v="5-25%"/>
    <s v="50-75%"/>
    <s v="50-75%"/>
    <s v="50-75%"/>
    <x v="2"/>
    <x v="3"/>
    <x v="1"/>
    <x v="1"/>
    <x v="1"/>
    <x v="8"/>
    <x v="0"/>
    <x v="0"/>
    <x v="0"/>
    <x v="0"/>
  </r>
  <r>
    <s v="P34"/>
    <s v="P34"/>
    <n v="55"/>
    <s v="NARAYAN HAIBAT TUPE"/>
    <x v="21"/>
    <x v="0"/>
    <d v="2021-04-21T00:00:00"/>
    <m/>
    <s v="VI"/>
    <x v="4"/>
    <x v="3"/>
    <s v="50-75%"/>
    <s v="26-49%"/>
    <s v="26-49%"/>
    <s v="&gt;75%"/>
    <x v="3"/>
    <x v="1"/>
    <x v="2"/>
    <x v="2"/>
    <x v="0"/>
    <x v="8"/>
    <x v="0"/>
    <x v="0"/>
    <x v="0"/>
    <x v="0"/>
  </r>
  <r>
    <s v="P35"/>
    <s v="P35"/>
    <n v="77"/>
    <s v="SATISH NANDUSING CHAVAN"/>
    <x v="13"/>
    <x v="0"/>
    <d v="2021-07-06T00:00:00"/>
    <m/>
    <s v="VI"/>
    <x v="1"/>
    <x v="2"/>
    <s v="26-49%"/>
    <s v="50-75%"/>
    <s v="26-49%"/>
    <s v="50-75%"/>
    <x v="2"/>
    <x v="2"/>
    <x v="1"/>
    <x v="2"/>
    <x v="1"/>
    <x v="8"/>
    <x v="0"/>
    <x v="0"/>
    <x v="1"/>
    <x v="0"/>
  </r>
  <r>
    <s v="P36"/>
    <s v="P36"/>
    <n v="87"/>
    <s v="SHUBHANGI BABASAHEB_x000a_SHINDE"/>
    <x v="24"/>
    <x v="1"/>
    <d v="2021-04-22T00:00:00"/>
    <m/>
    <s v="VI"/>
    <x v="4"/>
    <x v="1"/>
    <s v="26-49%"/>
    <s v="50-75%"/>
    <s v="26-49%"/>
    <s v="26-49%"/>
    <x v="1"/>
    <x v="2"/>
    <x v="1"/>
    <x v="2"/>
    <x v="2"/>
    <x v="8"/>
    <x v="0"/>
    <x v="0"/>
    <x v="0"/>
    <x v="0"/>
  </r>
  <r>
    <s v="P37"/>
    <s v="P37"/>
    <n v="129"/>
    <s v="BEBYBAI ASHOK KHELVANE"/>
    <x v="25"/>
    <x v="1"/>
    <d v="2021-11-06T00:00:00"/>
    <m/>
    <s v="V"/>
    <x v="1"/>
    <x v="1"/>
    <s v="50-75%"/>
    <s v="26-49%"/>
    <s v="26-49%"/>
    <s v="26-49%"/>
    <x v="1"/>
    <x v="1"/>
    <x v="2"/>
    <x v="2"/>
    <x v="2"/>
    <x v="8"/>
    <x v="0"/>
    <x v="0"/>
    <x v="0"/>
    <x v="0"/>
  </r>
  <r>
    <s v="P38"/>
    <s v="P38"/>
    <n v="192"/>
    <s v="PARAJI YASHWANT WAGH"/>
    <x v="13"/>
    <x v="0"/>
    <d v="2021-09-28T00:00:00"/>
    <m/>
    <s v="V"/>
    <x v="1"/>
    <x v="2"/>
    <s v="26-49%"/>
    <s v="50-75%"/>
    <s v="26-49%"/>
    <s v="50-75%"/>
    <x v="2"/>
    <x v="2"/>
    <x v="1"/>
    <x v="2"/>
    <x v="1"/>
    <x v="8"/>
    <x v="0"/>
    <x v="0"/>
    <x v="0"/>
    <x v="0"/>
  </r>
  <r>
    <s v="P39"/>
    <s v="P39"/>
    <n v="194"/>
    <s v="PRABHAKAR PANDITRAO_x000a_BARGAL"/>
    <x v="26"/>
    <x v="0"/>
    <d v="2021-07-26T00:00:00"/>
    <m/>
    <s v="V"/>
    <x v="8"/>
    <x v="1"/>
    <s v="26-49%"/>
    <s v="26-49%"/>
    <s v="26-49%"/>
    <s v="50-75%"/>
    <x v="1"/>
    <x v="2"/>
    <x v="2"/>
    <x v="2"/>
    <x v="1"/>
    <x v="8"/>
    <x v="0"/>
    <x v="1"/>
    <x v="0"/>
    <x v="0"/>
  </r>
  <r>
    <s v="P40"/>
    <s v="P40"/>
    <n v="199"/>
    <s v="RAJ PRAKASH RATHOD"/>
    <x v="27"/>
    <x v="0"/>
    <d v="2021-09-26T00:00:00"/>
    <m/>
    <s v="V"/>
    <x v="9"/>
    <x v="2"/>
    <s v="26-49%"/>
    <s v="50-75%"/>
    <s v="26-49%"/>
    <s v="50-75%"/>
    <x v="2"/>
    <x v="2"/>
    <x v="1"/>
    <x v="2"/>
    <x v="1"/>
    <x v="8"/>
    <x v="0"/>
    <x v="0"/>
    <x v="0"/>
    <x v="0"/>
  </r>
  <r>
    <s v="P41"/>
    <s v="P41"/>
    <n v="219"/>
    <s v="SHARIF GAFURBHAI SHAIKH"/>
    <x v="28"/>
    <x v="0"/>
    <d v="2021-04-09T00:00:00"/>
    <m/>
    <s v="V"/>
    <x v="4"/>
    <x v="2"/>
    <s v="26-49%"/>
    <s v="26-49%"/>
    <s v="26-49%"/>
    <s v="&gt;75%"/>
    <x v="2"/>
    <x v="2"/>
    <x v="2"/>
    <x v="2"/>
    <x v="0"/>
    <x v="8"/>
    <x v="0"/>
    <x v="0"/>
    <x v="0"/>
    <x v="0"/>
  </r>
  <r>
    <s v="P42"/>
    <s v="P42"/>
    <n v="227"/>
    <s v="SUJIT ANIL AWASARMAL"/>
    <x v="29"/>
    <x v="0"/>
    <d v="2021-09-24T00:00:00"/>
    <m/>
    <s v="V"/>
    <x v="10"/>
    <x v="1"/>
    <s v="50-75%"/>
    <s v="26-49%"/>
    <s v="26-49%"/>
    <s v="26-49%"/>
    <x v="1"/>
    <x v="1"/>
    <x v="2"/>
    <x v="2"/>
    <x v="2"/>
    <x v="8"/>
    <x v="0"/>
    <x v="1"/>
    <x v="0"/>
    <x v="0"/>
  </r>
  <r>
    <s v="P43"/>
    <s v="P43"/>
    <n v="233"/>
    <s v="VALMIK KESHAVRAO JADHAV"/>
    <x v="30"/>
    <x v="0"/>
    <d v="2021-07-19T00:00:00"/>
    <m/>
    <s v="V"/>
    <x v="4"/>
    <x v="2"/>
    <s v="26-49%"/>
    <s v="50-75%"/>
    <s v="26-49%"/>
    <s v="50-75%"/>
    <x v="2"/>
    <x v="2"/>
    <x v="1"/>
    <x v="2"/>
    <x v="1"/>
    <x v="8"/>
    <x v="0"/>
    <x v="0"/>
    <x v="1"/>
    <x v="0"/>
  </r>
  <r>
    <s v="P44"/>
    <s v="P44"/>
    <n v="29"/>
    <s v="GOVARDHAN DATTATRAY_x000a_UNMEGH"/>
    <x v="29"/>
    <x v="0"/>
    <d v="2021-06-21T00:00:00"/>
    <m/>
    <s v="VI"/>
    <x v="1"/>
    <x v="2"/>
    <s v="26-49%"/>
    <s v="50-75%"/>
    <s v="5-25%"/>
    <s v="50-75%"/>
    <x v="2"/>
    <x v="2"/>
    <x v="1"/>
    <x v="3"/>
    <x v="1"/>
    <x v="9"/>
    <x v="0"/>
    <x v="0"/>
    <x v="0"/>
    <x v="0"/>
  </r>
  <r>
    <s v="P45"/>
    <s v="P45"/>
    <n v="142"/>
    <s v="DEVANAND BHANUDAS_x000a_KALWALE"/>
    <x v="29"/>
    <x v="0"/>
    <d v="2021-09-30T00:00:00"/>
    <m/>
    <s v="V"/>
    <x v="0"/>
    <x v="2"/>
    <s v="5-25%"/>
    <s v="50-75%"/>
    <s v="26-49%"/>
    <s v="50-75%"/>
    <x v="2"/>
    <x v="3"/>
    <x v="1"/>
    <x v="2"/>
    <x v="1"/>
    <x v="9"/>
    <x v="0"/>
    <x v="0"/>
    <x v="0"/>
    <x v="0"/>
  </r>
  <r>
    <s v="P46"/>
    <s v="P46"/>
    <n v="167"/>
    <s v="MACHINDRA KASHINATH HUME"/>
    <x v="31"/>
    <x v="0"/>
    <d v="2021-01-07T00:00:00"/>
    <m/>
    <s v="V"/>
    <x v="4"/>
    <x v="1"/>
    <s v="26-49%"/>
    <s v="5-25%"/>
    <s v="50-75%"/>
    <s v="26-49%"/>
    <x v="1"/>
    <x v="2"/>
    <x v="3"/>
    <x v="1"/>
    <x v="2"/>
    <x v="9"/>
    <x v="0"/>
    <x v="0"/>
    <x v="0"/>
    <x v="0"/>
  </r>
  <r>
    <s v="P47"/>
    <s v="P47"/>
    <n v="225"/>
    <s v="SUGRABAI ROHIDAS RATHOD"/>
    <x v="7"/>
    <x v="1"/>
    <d v="2021-05-27T00:00:00"/>
    <s v="fever and breathlessness"/>
    <s v="V"/>
    <x v="4"/>
    <x v="2"/>
    <s v="5-25%"/>
    <s v="50-75%"/>
    <s v="26-49%"/>
    <s v="50-75%"/>
    <x v="2"/>
    <x v="3"/>
    <x v="1"/>
    <x v="2"/>
    <x v="1"/>
    <x v="9"/>
    <x v="0"/>
    <x v="0"/>
    <x v="1"/>
    <x v="0"/>
  </r>
  <r>
    <s v="P48"/>
    <s v="P48"/>
    <n v="231"/>
    <s v="TAHERA BEE AMEEN SAYYAD"/>
    <x v="32"/>
    <x v="1"/>
    <d v="2021-11-09T00:00:00"/>
    <m/>
    <s v="V"/>
    <x v="4"/>
    <x v="2"/>
    <s v="50-75%"/>
    <s v="26-49%"/>
    <s v="5-25%"/>
    <s v="50-75%"/>
    <x v="2"/>
    <x v="1"/>
    <x v="2"/>
    <x v="3"/>
    <x v="1"/>
    <x v="9"/>
    <x v="0"/>
    <x v="0"/>
    <x v="0"/>
    <x v="0"/>
  </r>
  <r>
    <s v="P49"/>
    <s v="P50"/>
    <n v="9"/>
    <s v="ZAHIRUDDIN AMIR SHAIKH"/>
    <x v="33"/>
    <x v="0"/>
    <d v="2021-08-24T00:00:00"/>
    <s v="breathlessness"/>
    <s v="VI"/>
    <x v="11"/>
    <x v="1"/>
    <s v="26-49%"/>
    <s v="26-49%"/>
    <s v="5-25%"/>
    <s v="26-49%"/>
    <x v="1"/>
    <x v="2"/>
    <x v="2"/>
    <x v="3"/>
    <x v="2"/>
    <x v="10"/>
    <x v="2"/>
    <x v="1"/>
    <x v="0"/>
    <x v="1"/>
  </r>
  <r>
    <s v="P50"/>
    <s v="P51"/>
    <n v="85"/>
    <s v="SHRIPAD MANIKRAO KALE"/>
    <x v="15"/>
    <x v="0"/>
    <d v="2021-11-04T00:00:00"/>
    <m/>
    <s v="VI"/>
    <x v="4"/>
    <x v="3"/>
    <s v="&lt;5%"/>
    <s v="50-75%"/>
    <s v="26-49%"/>
    <s v="&gt;75%"/>
    <x v="3"/>
    <x v="4"/>
    <x v="1"/>
    <x v="2"/>
    <x v="0"/>
    <x v="10"/>
    <x v="0"/>
    <x v="0"/>
    <x v="1"/>
    <x v="1"/>
  </r>
  <r>
    <s v="P51"/>
    <s v="P52"/>
    <n v="216"/>
    <s v="SHAHIN BEGAM JAAN_x000a_MOHMMAD SHAIKH"/>
    <x v="12"/>
    <x v="1"/>
    <d v="2021-08-06T00:00:00"/>
    <m/>
    <s v="V"/>
    <x v="4"/>
    <x v="2"/>
    <s v="5-25%"/>
    <s v="50-75%"/>
    <s v="26-49%"/>
    <s v="26-49%"/>
    <x v="2"/>
    <x v="3"/>
    <x v="1"/>
    <x v="2"/>
    <x v="2"/>
    <x v="10"/>
    <x v="0"/>
    <x v="0"/>
    <x v="1"/>
    <x v="1"/>
  </r>
  <r>
    <s v="P52"/>
    <s v="P53"/>
    <n v="221"/>
    <s v="SHIVAJI SHRIRAM JADHAV"/>
    <x v="11"/>
    <x v="0"/>
    <d v="2021-05-23T00:00:00"/>
    <m/>
    <s v="V"/>
    <x v="1"/>
    <x v="2"/>
    <s v="26-49%"/>
    <s v="26-49%"/>
    <s v="26-49%"/>
    <s v="26-49%"/>
    <x v="2"/>
    <x v="2"/>
    <x v="2"/>
    <x v="2"/>
    <x v="2"/>
    <x v="10"/>
    <x v="0"/>
    <x v="0"/>
    <x v="0"/>
    <x v="1"/>
  </r>
  <r>
    <s v="P53"/>
    <s v="P54"/>
    <n v="20"/>
    <s v="DINESH BANSIDHAR WAGHMARE"/>
    <x v="34"/>
    <x v="0"/>
    <d v="2021-12-04T00:00:00"/>
    <m/>
    <s v="VI"/>
    <x v="1"/>
    <x v="3"/>
    <s v="26-49%"/>
    <s v="26-49%"/>
    <s v="26-49%"/>
    <s v="26-49%"/>
    <x v="3"/>
    <x v="2"/>
    <x v="2"/>
    <x v="2"/>
    <x v="2"/>
    <x v="11"/>
    <x v="0"/>
    <x v="0"/>
    <x v="0"/>
    <x v="1"/>
  </r>
  <r>
    <s v="P54"/>
    <s v="P55"/>
    <n v="39"/>
    <s v="VINAY PADMAKAR KULKARNI"/>
    <x v="7"/>
    <x v="0"/>
    <d v="2021-06-28T00:00:00"/>
    <m/>
    <s v="VI"/>
    <x v="1"/>
    <x v="2"/>
    <s v="5-25%"/>
    <s v="26-49%"/>
    <s v="26-49%"/>
    <s v="26-49%"/>
    <x v="2"/>
    <x v="3"/>
    <x v="2"/>
    <x v="2"/>
    <x v="2"/>
    <x v="11"/>
    <x v="0"/>
    <x v="0"/>
    <x v="1"/>
    <x v="1"/>
  </r>
  <r>
    <s v="P55"/>
    <s v="P56"/>
    <n v="54"/>
    <s v="NARAYAN MADHAVRAO THORAT"/>
    <x v="21"/>
    <x v="0"/>
    <d v="2021-09-29T00:00:00"/>
    <m/>
    <s v="VI"/>
    <x v="1"/>
    <x v="4"/>
    <s v="26-49%"/>
    <s v="26-49%"/>
    <s v="26-49%"/>
    <s v="50-75%"/>
    <x v="4"/>
    <x v="2"/>
    <x v="2"/>
    <x v="2"/>
    <x v="1"/>
    <x v="11"/>
    <x v="0"/>
    <x v="0"/>
    <x v="1"/>
    <x v="1"/>
  </r>
  <r>
    <s v="P56"/>
    <s v="P57"/>
    <n v="91"/>
    <s v="TRUPTI PANJAB DESHMUKH"/>
    <x v="2"/>
    <x v="1"/>
    <d v="2021-06-14T00:00:00"/>
    <m/>
    <s v="VI"/>
    <x v="1"/>
    <x v="2"/>
    <s v="5-25%"/>
    <s v="26-49%"/>
    <s v="26-49%"/>
    <s v="26-49%"/>
    <x v="2"/>
    <x v="3"/>
    <x v="2"/>
    <x v="2"/>
    <x v="2"/>
    <x v="11"/>
    <x v="0"/>
    <x v="0"/>
    <x v="0"/>
    <x v="1"/>
  </r>
  <r>
    <s v="P57"/>
    <s v="P58"/>
    <n v="115"/>
    <s v="ABASAHEB MATHARU CHAVAN"/>
    <x v="35"/>
    <x v="0"/>
    <d v="2023-02-27T00:00:00"/>
    <m/>
    <s v="V"/>
    <x v="1"/>
    <x v="3"/>
    <s v="5-25%"/>
    <s v="50-75%"/>
    <s v="5-25%"/>
    <s v="50-75%"/>
    <x v="3"/>
    <x v="3"/>
    <x v="1"/>
    <x v="3"/>
    <x v="1"/>
    <x v="11"/>
    <x v="0"/>
    <x v="0"/>
    <x v="0"/>
    <x v="1"/>
  </r>
  <r>
    <s v="P58"/>
    <s v="P59"/>
    <n v="125"/>
    <s v="BABAN MANSARAM BUTTE"/>
    <x v="23"/>
    <x v="0"/>
    <d v="2021-09-15T00:00:00"/>
    <m/>
    <s v="V"/>
    <x v="0"/>
    <x v="2"/>
    <s v="5-25%"/>
    <s v="26-49%"/>
    <s v="26-49%"/>
    <s v="26-49%"/>
    <x v="2"/>
    <x v="3"/>
    <x v="2"/>
    <x v="2"/>
    <x v="2"/>
    <x v="11"/>
    <x v="0"/>
    <x v="0"/>
    <x v="1"/>
    <x v="1"/>
  </r>
  <r>
    <s v="P59"/>
    <s v="P60"/>
    <n v="135"/>
    <s v="BISAN DOKRAJI GANGVE"/>
    <x v="31"/>
    <x v="0"/>
    <d v="2021-06-09T00:00:00"/>
    <m/>
    <s v="V"/>
    <x v="1"/>
    <x v="4"/>
    <s v="5-25%"/>
    <s v="50-75%"/>
    <s v="26-49%"/>
    <s v="50-75%"/>
    <x v="4"/>
    <x v="3"/>
    <x v="1"/>
    <x v="2"/>
    <x v="1"/>
    <x v="11"/>
    <x v="0"/>
    <x v="0"/>
    <x v="0"/>
    <x v="1"/>
  </r>
  <r>
    <s v="P60"/>
    <s v="P61"/>
    <n v="143"/>
    <s v="DHIRENDRA VAIJINATH VANJULE"/>
    <x v="36"/>
    <x v="0"/>
    <d v="2021-04-22T00:00:00"/>
    <m/>
    <s v="V"/>
    <x v="0"/>
    <x v="2"/>
    <s v="5-25%"/>
    <s v="26-49%"/>
    <s v="26-49%"/>
    <s v="26-49%"/>
    <x v="2"/>
    <x v="3"/>
    <x v="2"/>
    <x v="2"/>
    <x v="2"/>
    <x v="11"/>
    <x v="0"/>
    <x v="0"/>
    <x v="0"/>
    <x v="1"/>
  </r>
  <r>
    <s v="P61"/>
    <s v="P62"/>
    <n v="164"/>
    <s v="LAXMAN KONDIBA_x000a_HARICHANDRE"/>
    <x v="31"/>
    <x v="0"/>
    <d v="2021-05-27T00:00:00"/>
    <m/>
    <s v="V"/>
    <x v="1"/>
    <x v="2"/>
    <s v="5-25%"/>
    <s v="26-49%"/>
    <s v="26-49%"/>
    <s v="26-49%"/>
    <x v="2"/>
    <x v="3"/>
    <x v="2"/>
    <x v="2"/>
    <x v="2"/>
    <x v="11"/>
    <x v="0"/>
    <x v="0"/>
    <x v="1"/>
    <x v="1"/>
  </r>
  <r>
    <s v="P62"/>
    <s v="P63"/>
    <n v="165"/>
    <s v="LILABAI CHAMPALAL JAIN"/>
    <x v="37"/>
    <x v="1"/>
    <d v="2021-05-22T00:00:00"/>
    <m/>
    <s v="V"/>
    <x v="1"/>
    <x v="2"/>
    <s v="26-49%"/>
    <s v="26-49%"/>
    <s v="5-25%"/>
    <s v="26-49%"/>
    <x v="2"/>
    <x v="2"/>
    <x v="2"/>
    <x v="3"/>
    <x v="2"/>
    <x v="11"/>
    <x v="0"/>
    <x v="0"/>
    <x v="0"/>
    <x v="1"/>
  </r>
  <r>
    <s v="P63"/>
    <s v="P64"/>
    <n v="168"/>
    <s v="MADHUKAR KASHIRAM PATIL"/>
    <x v="38"/>
    <x v="0"/>
    <d v="2021-05-13T00:00:00"/>
    <m/>
    <s v="V"/>
    <x v="4"/>
    <x v="2"/>
    <s v="5-25%"/>
    <s v="26-49%"/>
    <s v="26-49%"/>
    <s v="26-49%"/>
    <x v="2"/>
    <x v="3"/>
    <x v="2"/>
    <x v="2"/>
    <x v="2"/>
    <x v="11"/>
    <x v="0"/>
    <x v="0"/>
    <x v="0"/>
    <x v="1"/>
  </r>
  <r>
    <s v="P64"/>
    <s v="P65"/>
    <n v="185"/>
    <s v="NARAYAN BABARAO GARAD"/>
    <x v="38"/>
    <x v="0"/>
    <d v="2021-03-06T00:00:00"/>
    <m/>
    <s v="V"/>
    <x v="4"/>
    <x v="2"/>
    <s v="5-25%"/>
    <s v="50-75%"/>
    <s v="5-25%"/>
    <s v="26-49%"/>
    <x v="2"/>
    <x v="3"/>
    <x v="1"/>
    <x v="3"/>
    <x v="2"/>
    <x v="11"/>
    <x v="0"/>
    <x v="0"/>
    <x v="0"/>
    <x v="1"/>
  </r>
  <r>
    <s v="P65"/>
    <s v="P66"/>
    <n v="228"/>
    <s v="SUNANDA NITIN BANAKAR"/>
    <x v="36"/>
    <x v="1"/>
    <d v="2021-09-30T00:00:00"/>
    <m/>
    <s v="V"/>
    <x v="4"/>
    <x v="2"/>
    <s v="26-49%"/>
    <s v="26-49%"/>
    <s v="5-25%"/>
    <s v="26-49%"/>
    <x v="2"/>
    <x v="2"/>
    <x v="2"/>
    <x v="3"/>
    <x v="2"/>
    <x v="11"/>
    <x v="0"/>
    <x v="0"/>
    <x v="1"/>
    <x v="1"/>
  </r>
  <r>
    <s v="P66"/>
    <s v="P67"/>
    <n v="237"/>
    <s v="VIJAYA CHANDRAKANT_x000a_DESHPANDE"/>
    <x v="31"/>
    <x v="1"/>
    <d v="2021-05-28T00:00:00"/>
    <m/>
    <s v="V"/>
    <x v="1"/>
    <x v="2"/>
    <s v="5-25%"/>
    <s v="26-49%"/>
    <s v="26-49%"/>
    <s v="26-49%"/>
    <x v="2"/>
    <x v="3"/>
    <x v="2"/>
    <x v="2"/>
    <x v="2"/>
    <x v="11"/>
    <x v="0"/>
    <x v="0"/>
    <x v="0"/>
    <x v="1"/>
  </r>
  <r>
    <s v="P67"/>
    <s v="P68"/>
    <n v="245"/>
    <s v="ZB KAUSABAI ASARAM JADHAV"/>
    <x v="39"/>
    <x v="1"/>
    <d v="2021-01-06T00:00:00"/>
    <m/>
    <s v="V"/>
    <x v="1"/>
    <x v="2"/>
    <s v="26-49%"/>
    <s v="26-49%"/>
    <s v="5-25%"/>
    <s v="26-49%"/>
    <x v="2"/>
    <x v="2"/>
    <x v="2"/>
    <x v="3"/>
    <x v="2"/>
    <x v="11"/>
    <x v="0"/>
    <x v="0"/>
    <x v="0"/>
    <x v="1"/>
  </r>
  <r>
    <s v="P68"/>
    <m/>
    <m/>
    <s v="SHAMSHAD SAIFAN SHAIKH "/>
    <x v="32"/>
    <x v="1"/>
    <d v="2021-11-06T00:00:00"/>
    <m/>
    <m/>
    <x v="12"/>
    <x v="5"/>
    <m/>
    <m/>
    <m/>
    <m/>
    <x v="2"/>
    <x v="3"/>
    <x v="2"/>
    <x v="2"/>
    <x v="2"/>
    <x v="11"/>
    <x v="3"/>
    <x v="1"/>
    <x v="0"/>
    <x v="1"/>
  </r>
  <r>
    <s v="P69"/>
    <s v="P69"/>
    <n v="15"/>
    <s v="CHANDRAKANT SHIWAJI HON"/>
    <x v="1"/>
    <x v="0"/>
    <d v="2021-04-05T00:00:00"/>
    <m/>
    <s v="VI"/>
    <x v="0"/>
    <x v="3"/>
    <s v="5-25%"/>
    <s v="26-49%"/>
    <s v="5-25%"/>
    <s v="50-75%"/>
    <x v="3"/>
    <x v="3"/>
    <x v="2"/>
    <x v="3"/>
    <x v="1"/>
    <x v="12"/>
    <x v="0"/>
    <x v="0"/>
    <x v="0"/>
    <x v="1"/>
  </r>
  <r>
    <s v="P70"/>
    <s v="P70"/>
    <n v="19"/>
    <s v="DEVYANI VIVEK DESHPANDE"/>
    <x v="5"/>
    <x v="1"/>
    <d v="2021-11-04T00:00:00"/>
    <m/>
    <s v="VI"/>
    <x v="0"/>
    <x v="2"/>
    <s v="5-25%"/>
    <s v="26-49%"/>
    <s v="5-25%"/>
    <s v="26-49%"/>
    <x v="2"/>
    <x v="3"/>
    <x v="2"/>
    <x v="3"/>
    <x v="2"/>
    <x v="12"/>
    <x v="0"/>
    <x v="0"/>
    <x v="0"/>
    <x v="1"/>
  </r>
  <r>
    <s v="P71"/>
    <s v="P71"/>
    <n v="43"/>
    <s v="LATA LAVNG"/>
    <x v="10"/>
    <x v="1"/>
    <d v="2021-04-22T00:00:00"/>
    <m/>
    <s v="VI"/>
    <x v="4"/>
    <x v="2"/>
    <s v="26-49%"/>
    <s v="26-49%"/>
    <s v="5-25%"/>
    <s v="5-25%"/>
    <x v="2"/>
    <x v="2"/>
    <x v="2"/>
    <x v="3"/>
    <x v="3"/>
    <x v="12"/>
    <x v="0"/>
    <x v="0"/>
    <x v="0"/>
    <x v="1"/>
  </r>
  <r>
    <s v="P72"/>
    <s v="P72"/>
    <n v="53"/>
    <s v="MOTILAL BOOLCHAND NAGRANI"/>
    <x v="40"/>
    <x v="0"/>
    <d v="2021-06-09T00:00:00"/>
    <m/>
    <s v="VI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73"/>
    <s v="P73"/>
    <n v="61"/>
    <s v="UMAKANT SADASHIRAO BINDU"/>
    <x v="40"/>
    <x v="0"/>
    <d v="2021-04-20T00:00:00"/>
    <m/>
    <s v="VI"/>
    <x v="1"/>
    <x v="2"/>
    <s v="26-49%"/>
    <s v="5-25%"/>
    <s v="5-25%"/>
    <s v="26-49%"/>
    <x v="2"/>
    <x v="2"/>
    <x v="3"/>
    <x v="3"/>
    <x v="2"/>
    <x v="12"/>
    <x v="0"/>
    <x v="0"/>
    <x v="0"/>
    <x v="1"/>
  </r>
  <r>
    <s v="P74"/>
    <s v="P74"/>
    <n v="84"/>
    <s v="SHOBHABAI GOKUL SUKASE"/>
    <x v="41"/>
    <x v="1"/>
    <d v="2021-01-07T00:00:00"/>
    <m/>
    <s v="VI"/>
    <x v="4"/>
    <x v="2"/>
    <s v="5-25%"/>
    <s v="50-75%"/>
    <s v="5-25%"/>
    <s v="5-25%"/>
    <x v="2"/>
    <x v="3"/>
    <x v="1"/>
    <x v="3"/>
    <x v="3"/>
    <x v="12"/>
    <x v="0"/>
    <x v="0"/>
    <x v="0"/>
    <x v="1"/>
  </r>
  <r>
    <s v="P75"/>
    <s v="P75"/>
    <n v="117"/>
    <s v="AMBADAS MAROTIRAO MORE"/>
    <x v="31"/>
    <x v="0"/>
    <d v="2021-01-26T00:00:00"/>
    <m/>
    <s v="V"/>
    <x v="1"/>
    <x v="2"/>
    <s v="5-25%"/>
    <s v="5-25%"/>
    <s v="26-49%"/>
    <s v="26-49%"/>
    <x v="2"/>
    <x v="3"/>
    <x v="3"/>
    <x v="2"/>
    <x v="2"/>
    <x v="12"/>
    <x v="0"/>
    <x v="0"/>
    <x v="0"/>
    <x v="1"/>
  </r>
  <r>
    <s v="P76"/>
    <s v="P76"/>
    <n v="130"/>
    <s v="BHAGIRATHIBAI SURESH_x000a_YASHWANT"/>
    <x v="42"/>
    <x v="1"/>
    <d v="2021-11-05T00:00:00"/>
    <m/>
    <s v="V"/>
    <x v="1"/>
    <x v="3"/>
    <s v="26-49%"/>
    <s v="26-49%"/>
    <s v="5-25%"/>
    <s v="26-49%"/>
    <x v="3"/>
    <x v="2"/>
    <x v="2"/>
    <x v="3"/>
    <x v="2"/>
    <x v="12"/>
    <x v="0"/>
    <x v="0"/>
    <x v="0"/>
    <x v="1"/>
  </r>
  <r>
    <s v="P77"/>
    <s v="P77"/>
    <n v="138"/>
    <s v="CHHAGAN DEVCHAND RATHOD"/>
    <x v="12"/>
    <x v="0"/>
    <d v="2021-05-23T00:00:00"/>
    <m/>
    <s v="V"/>
    <x v="0"/>
    <x v="4"/>
    <s v="5-25%"/>
    <s v="50-75%"/>
    <s v="5-25%"/>
    <s v="50-75%"/>
    <x v="4"/>
    <x v="3"/>
    <x v="1"/>
    <x v="3"/>
    <x v="1"/>
    <x v="12"/>
    <x v="0"/>
    <x v="0"/>
    <x v="0"/>
    <x v="1"/>
  </r>
  <r>
    <s v="P78"/>
    <s v="P78"/>
    <n v="160"/>
    <s v="KALYAN GOKUL GAIKWAD"/>
    <x v="43"/>
    <x v="0"/>
    <d v="2021-07-06T00:00:00"/>
    <m/>
    <s v="V"/>
    <x v="0"/>
    <x v="3"/>
    <s v="5-25%"/>
    <s v="26-49%"/>
    <s v="26-49%"/>
    <s v="26-49%"/>
    <x v="3"/>
    <x v="3"/>
    <x v="2"/>
    <x v="2"/>
    <x v="2"/>
    <x v="12"/>
    <x v="0"/>
    <x v="0"/>
    <x v="0"/>
    <x v="1"/>
  </r>
  <r>
    <s v="P79"/>
    <s v="P79"/>
    <n v="163"/>
    <s v="KUSUM BALKRISHNA JADHAV"/>
    <x v="31"/>
    <x v="1"/>
    <d v="2021-11-11T00:00:00"/>
    <m/>
    <s v="V"/>
    <x v="4"/>
    <x v="2"/>
    <s v="5-25%"/>
    <s v="50-75%"/>
    <s v="5-25%"/>
    <s v="5-25%"/>
    <x v="2"/>
    <x v="3"/>
    <x v="1"/>
    <x v="3"/>
    <x v="3"/>
    <x v="12"/>
    <x v="0"/>
    <x v="0"/>
    <x v="0"/>
    <x v="1"/>
  </r>
  <r>
    <s v="P80"/>
    <s v="P80"/>
    <n v="166"/>
    <s v="LILABAI MADHUKAR SASANE"/>
    <x v="32"/>
    <x v="1"/>
    <d v="2021-07-14T00:00:00"/>
    <m/>
    <s v="V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81"/>
    <s v="P81"/>
    <n v="178"/>
    <s v="MUKTARAM ASARAM LAGAD"/>
    <x v="41"/>
    <x v="0"/>
    <d v="2021-09-14T00:00:00"/>
    <m/>
    <s v="V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82"/>
    <s v="P82"/>
    <n v="181"/>
    <s v="NAMDEV BABAN TEMKAR"/>
    <x v="15"/>
    <x v="0"/>
    <d v="2021-09-17T00:00:00"/>
    <m/>
    <s v="V"/>
    <x v="4"/>
    <x v="3"/>
    <s v="26-49%"/>
    <s v="5-25%"/>
    <s v="26-49%"/>
    <s v="26-49%"/>
    <x v="3"/>
    <x v="2"/>
    <x v="3"/>
    <x v="2"/>
    <x v="2"/>
    <x v="12"/>
    <x v="0"/>
    <x v="0"/>
    <x v="1"/>
    <x v="1"/>
  </r>
  <r>
    <s v="P83"/>
    <s v="P83"/>
    <n v="197"/>
    <s v="PRASHANT KAKASAHEB PAWAR"/>
    <x v="44"/>
    <x v="0"/>
    <d v="2021-08-21T00:00:00"/>
    <m/>
    <s v="V"/>
    <x v="4"/>
    <x v="3"/>
    <s v="26-49%"/>
    <s v="50-75%"/>
    <s v="5-25%"/>
    <s v="5-25%"/>
    <x v="3"/>
    <x v="2"/>
    <x v="1"/>
    <x v="3"/>
    <x v="3"/>
    <x v="12"/>
    <x v="0"/>
    <x v="0"/>
    <x v="2"/>
    <x v="1"/>
  </r>
  <r>
    <s v="P84"/>
    <s v="P84"/>
    <n v="210"/>
    <s v="SAINATH KARBHARI KALE"/>
    <x v="4"/>
    <x v="0"/>
    <d v="2021-03-09T00:00:00"/>
    <m/>
    <s v="V"/>
    <x v="4"/>
    <x v="3"/>
    <s v="26-49%"/>
    <s v="26-49%"/>
    <s v="5-25%"/>
    <s v="26-49%"/>
    <x v="3"/>
    <x v="2"/>
    <x v="2"/>
    <x v="3"/>
    <x v="2"/>
    <x v="12"/>
    <x v="0"/>
    <x v="0"/>
    <x v="1"/>
    <x v="1"/>
  </r>
  <r>
    <s v="P85"/>
    <s v="P85"/>
    <n v="226"/>
    <s v="SUJATA BHAGATSING_x000a_DESHMUKH"/>
    <x v="17"/>
    <x v="1"/>
    <d v="2021-03-23T00:00:00"/>
    <m/>
    <s v="V"/>
    <x v="1"/>
    <x v="3"/>
    <s v="26-49%"/>
    <s v="26-49%"/>
    <s v="5-25%"/>
    <s v="26-49%"/>
    <x v="3"/>
    <x v="2"/>
    <x v="2"/>
    <x v="3"/>
    <x v="2"/>
    <x v="12"/>
    <x v="0"/>
    <x v="0"/>
    <x v="1"/>
    <x v="1"/>
  </r>
  <r>
    <s v="P86"/>
    <m/>
    <m/>
    <s v="LAXMAN KALLAPPA VANJARE "/>
    <x v="16"/>
    <x v="0"/>
    <d v="2021-08-06T00:00:00"/>
    <m/>
    <m/>
    <x v="13"/>
    <x v="5"/>
    <m/>
    <m/>
    <m/>
    <m/>
    <x v="3"/>
    <x v="3"/>
    <x v="1"/>
    <x v="3"/>
    <x v="2"/>
    <x v="12"/>
    <x v="4"/>
    <x v="1"/>
    <x v="0"/>
    <x v="1"/>
  </r>
  <r>
    <s v="P87"/>
    <m/>
    <m/>
    <s v="NURAJA MEHABOOB SHAIKH "/>
    <x v="13"/>
    <x v="1"/>
    <d v="2021-08-06T00:00:00"/>
    <m/>
    <m/>
    <x v="13"/>
    <x v="5"/>
    <m/>
    <m/>
    <m/>
    <m/>
    <x v="3"/>
    <x v="3"/>
    <x v="2"/>
    <x v="2"/>
    <x v="2"/>
    <x v="12"/>
    <x v="4"/>
    <x v="1"/>
    <x v="0"/>
    <x v="1"/>
  </r>
  <r>
    <s v="P88"/>
    <s v="P86"/>
    <n v="17"/>
    <s v="DATTU N CHAVAN"/>
    <x v="6"/>
    <x v="0"/>
    <d v="2021-07-22T00:00:00"/>
    <m/>
    <s v="VI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89"/>
    <s v="P87"/>
    <n v="21"/>
    <s v="FULABAI GULABRAO BORADE"/>
    <x v="18"/>
    <x v="1"/>
    <d v="2021-06-26T00:00:00"/>
    <m/>
    <s v="VI"/>
    <x v="0"/>
    <x v="3"/>
    <s v="5-25%"/>
    <s v="26-49%"/>
    <s v="5-25%"/>
    <s v="26-49%"/>
    <x v="3"/>
    <x v="3"/>
    <x v="2"/>
    <x v="3"/>
    <x v="2"/>
    <x v="13"/>
    <x v="0"/>
    <x v="0"/>
    <x v="1"/>
    <x v="1"/>
  </r>
  <r>
    <s v="P90"/>
    <s v="P88"/>
    <n v="35"/>
    <s v="KANIFNATH HARIBHAU LAD"/>
    <x v="7"/>
    <x v="0"/>
    <d v="2021-07-19T00:00:00"/>
    <m/>
    <s v="VI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91"/>
    <s v="P89"/>
    <n v="57"/>
    <s v="VASANT KASHINATHRAO TUNGE"/>
    <x v="17"/>
    <x v="0"/>
    <d v="2021-07-26T00:00:00"/>
    <m/>
    <s v="VI"/>
    <x v="1"/>
    <x v="3"/>
    <s v="26-49%"/>
    <s v="5-25%"/>
    <s v="5-25%"/>
    <s v="26-49%"/>
    <x v="3"/>
    <x v="2"/>
    <x v="3"/>
    <x v="3"/>
    <x v="2"/>
    <x v="13"/>
    <x v="0"/>
    <x v="0"/>
    <x v="0"/>
    <x v="1"/>
  </r>
  <r>
    <s v="P92"/>
    <s v="P90"/>
    <n v="68"/>
    <s v="RAMESH ASHOKRAO BARGAJE"/>
    <x v="45"/>
    <x v="0"/>
    <d v="2021-02-09T00:00:00"/>
    <m/>
    <s v="VI"/>
    <x v="1"/>
    <x v="3"/>
    <s v="5-25%"/>
    <s v="26-49%"/>
    <s v="5-25%"/>
    <s v="26-49%"/>
    <x v="3"/>
    <x v="3"/>
    <x v="2"/>
    <x v="3"/>
    <x v="2"/>
    <x v="13"/>
    <x v="0"/>
    <x v="0"/>
    <x v="0"/>
    <x v="1"/>
  </r>
  <r>
    <s v="P93"/>
    <s v="P91"/>
    <n v="93"/>
    <s v="TATYARAO EKNATHRAO KARAD"/>
    <x v="28"/>
    <x v="0"/>
    <d v="2021-11-04T00:00:00"/>
    <m/>
    <s v="VI"/>
    <x v="4"/>
    <x v="3"/>
    <s v="5-25%"/>
    <s v="50-75%"/>
    <s v="5-25%"/>
    <s v="5-25%"/>
    <x v="3"/>
    <x v="3"/>
    <x v="1"/>
    <x v="3"/>
    <x v="3"/>
    <x v="13"/>
    <x v="0"/>
    <x v="0"/>
    <x v="0"/>
    <x v="1"/>
  </r>
  <r>
    <s v="P94"/>
    <s v="P92"/>
    <n v="118"/>
    <s v="AMOL DEELIP MULE"/>
    <x v="46"/>
    <x v="0"/>
    <d v="2021-05-25T00:00:00"/>
    <m/>
    <s v="V"/>
    <x v="0"/>
    <x v="3"/>
    <s v="5-25%"/>
    <s v="26-49%"/>
    <s v="5-25%"/>
    <s v="26-49%"/>
    <x v="3"/>
    <x v="3"/>
    <x v="2"/>
    <x v="3"/>
    <x v="2"/>
    <x v="13"/>
    <x v="0"/>
    <x v="0"/>
    <x v="3"/>
    <x v="1"/>
  </r>
  <r>
    <s v="P95"/>
    <s v="P93"/>
    <n v="121"/>
    <s v="ANUSAYA DHAMU RATHOD"/>
    <x v="15"/>
    <x v="1"/>
    <d v="2021-07-19T00:00:00"/>
    <m/>
    <s v="V"/>
    <x v="1"/>
    <x v="3"/>
    <s v="5-25%"/>
    <s v="26-49%"/>
    <s v="5-25%"/>
    <s v="26-49%"/>
    <x v="3"/>
    <x v="3"/>
    <x v="2"/>
    <x v="3"/>
    <x v="2"/>
    <x v="13"/>
    <x v="0"/>
    <x v="0"/>
    <x v="1"/>
    <x v="1"/>
  </r>
  <r>
    <s v="P96"/>
    <s v="P94"/>
    <n v="127"/>
    <s v="BABURAO TUKARAM CHAVAN"/>
    <x v="20"/>
    <x v="0"/>
    <d v="2021-02-04T00:00:00"/>
    <m/>
    <s v="V"/>
    <x v="1"/>
    <x v="3"/>
    <s v="26-49%"/>
    <s v="5-25%"/>
    <s v="5-25%"/>
    <s v="26-49%"/>
    <x v="3"/>
    <x v="2"/>
    <x v="3"/>
    <x v="3"/>
    <x v="2"/>
    <x v="13"/>
    <x v="0"/>
    <x v="0"/>
    <x v="1"/>
    <x v="1"/>
  </r>
  <r>
    <s v="P97"/>
    <s v="P95"/>
    <n v="134"/>
    <s v="BI PASHA SAYYAD MAZHAR ALI "/>
    <x v="19"/>
    <x v="1"/>
    <d v="2021-08-05T00:00:00"/>
    <m/>
    <s v="V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98"/>
    <s v="P96"/>
    <n v="147"/>
    <s v="GAYABAI PRABHAKAR KANADE"/>
    <x v="32"/>
    <x v="1"/>
    <d v="2021-09-22T00:00:00"/>
    <m/>
    <s v="V"/>
    <x v="1"/>
    <x v="2"/>
    <s v="26-49%"/>
    <s v="&lt;5%"/>
    <s v="5-25%"/>
    <s v="26-49%"/>
    <x v="2"/>
    <x v="2"/>
    <x v="4"/>
    <x v="3"/>
    <x v="2"/>
    <x v="13"/>
    <x v="0"/>
    <x v="0"/>
    <x v="0"/>
    <x v="1"/>
  </r>
  <r>
    <s v="P99"/>
    <s v="P97"/>
    <n v="154"/>
    <s v="JANU SONAJI BHARAD"/>
    <x v="10"/>
    <x v="0"/>
    <d v="2021-09-29T00:00:00"/>
    <m/>
    <s v="V"/>
    <x v="1"/>
    <x v="2"/>
    <s v="&lt;5%"/>
    <s v="26-49%"/>
    <s v="26-49%"/>
    <s v="5-25%"/>
    <x v="2"/>
    <x v="4"/>
    <x v="2"/>
    <x v="2"/>
    <x v="3"/>
    <x v="13"/>
    <x v="0"/>
    <x v="0"/>
    <x v="1"/>
    <x v="1"/>
  </r>
  <r>
    <s v="P100"/>
    <s v="P98"/>
    <n v="175"/>
    <s v="MIRZA AHEMAD BAIG AZIZ BAIG"/>
    <x v="39"/>
    <x v="0"/>
    <d v="2021-06-28T00:00:00"/>
    <m/>
    <s v="V"/>
    <x v="14"/>
    <x v="3"/>
    <s v="5-25%"/>
    <s v="5-25%"/>
    <s v="26-49%"/>
    <s v="26-49%"/>
    <x v="3"/>
    <x v="3"/>
    <x v="3"/>
    <x v="2"/>
    <x v="2"/>
    <x v="13"/>
    <x v="0"/>
    <x v="0"/>
    <x v="0"/>
    <x v="1"/>
  </r>
  <r>
    <s v="P101"/>
    <s v="P99"/>
    <n v="188"/>
    <s v="NUSRAT BEGAM MAHAMAD_x000a_RAFIK"/>
    <x v="43"/>
    <x v="1"/>
    <d v="2021-06-26T00:00:00"/>
    <m/>
    <s v="V"/>
    <x v="4"/>
    <x v="3"/>
    <s v="&lt;5%"/>
    <s v="26-49%"/>
    <s v="26-49%"/>
    <s v="26-49%"/>
    <x v="3"/>
    <x v="4"/>
    <x v="2"/>
    <x v="2"/>
    <x v="2"/>
    <x v="13"/>
    <x v="0"/>
    <x v="0"/>
    <x v="0"/>
    <x v="1"/>
  </r>
  <r>
    <s v="P102"/>
    <s v="P101"/>
    <n v="222"/>
    <s v="SHRIRANG BHAURAO MAHAKAL"/>
    <x v="16"/>
    <x v="0"/>
    <d v="2021-09-09T00:00:00"/>
    <s v="fever"/>
    <s v="V"/>
    <x v="1"/>
    <x v="2"/>
    <s v="5-25%"/>
    <s v="5-25%"/>
    <s v="26-49%"/>
    <s v="5-25%"/>
    <x v="2"/>
    <x v="3"/>
    <x v="3"/>
    <x v="2"/>
    <x v="3"/>
    <x v="13"/>
    <x v="0"/>
    <x v="0"/>
    <x v="1"/>
    <x v="1"/>
  </r>
  <r>
    <s v="P103"/>
    <s v="P102"/>
    <n v="223"/>
    <s v="SUSHANT BHAGATSINHA_x000a_DESHMUKH (SHITOLE )"/>
    <x v="47"/>
    <x v="0"/>
    <d v="2021-03-04T00:00:00"/>
    <m/>
    <s v="V"/>
    <x v="1"/>
    <x v="3"/>
    <s v="5-25%"/>
    <s v="5-25%"/>
    <s v="5-25%"/>
    <s v="50-75%"/>
    <x v="3"/>
    <x v="3"/>
    <x v="3"/>
    <x v="3"/>
    <x v="1"/>
    <x v="13"/>
    <x v="0"/>
    <x v="0"/>
    <x v="0"/>
    <x v="1"/>
  </r>
  <r>
    <s v="P104"/>
    <s v="P103"/>
    <n v="242"/>
    <s v="YAMUNA MITHTHU BERAD"/>
    <x v="11"/>
    <x v="1"/>
    <d v="2021-05-29T00:00:00"/>
    <m/>
    <s v="V"/>
    <x v="1"/>
    <x v="3"/>
    <s v="5-25%"/>
    <s v="26-49%"/>
    <s v="5-25%"/>
    <s v="26-49%"/>
    <x v="3"/>
    <x v="3"/>
    <x v="2"/>
    <x v="3"/>
    <x v="2"/>
    <x v="13"/>
    <x v="0"/>
    <x v="0"/>
    <x v="0"/>
    <x v="1"/>
  </r>
  <r>
    <s v="P105"/>
    <s v="P104"/>
    <n v="243"/>
    <s v="YASIN ABDUL SAYYAD"/>
    <x v="45"/>
    <x v="0"/>
    <d v="2021-09-06T00:00:00"/>
    <s v="breathlessness"/>
    <s v="V"/>
    <x v="1"/>
    <x v="4"/>
    <s v="5-25%"/>
    <s v="50-75%"/>
    <s v="5-25%"/>
    <s v="26-49%"/>
    <x v="4"/>
    <x v="3"/>
    <x v="1"/>
    <x v="3"/>
    <x v="2"/>
    <x v="13"/>
    <x v="0"/>
    <x v="0"/>
    <x v="1"/>
    <x v="1"/>
  </r>
  <r>
    <s v="P106"/>
    <s v="P105"/>
    <n v="246"/>
    <s v="ZC PANDURANG MARIBA SATHE"/>
    <x v="21"/>
    <x v="0"/>
    <d v="2021-12-07T00:00:00"/>
    <m/>
    <s v="V"/>
    <x v="1"/>
    <x v="3"/>
    <s v="5-25%"/>
    <s v="50-75%"/>
    <s v="&lt;5%"/>
    <s v="26-49%"/>
    <x v="3"/>
    <x v="3"/>
    <x v="1"/>
    <x v="4"/>
    <x v="2"/>
    <x v="13"/>
    <x v="0"/>
    <x v="0"/>
    <x v="1"/>
    <x v="1"/>
  </r>
  <r>
    <s v="P107"/>
    <s v="P106"/>
    <n v="259"/>
    <s v="CHAMAN BEE SHAIKH NOOR"/>
    <x v="6"/>
    <x v="1"/>
    <d v="2021-08-14T00:00:00"/>
    <m/>
    <s v="III"/>
    <x v="15"/>
    <x v="2"/>
    <s v="&lt;5%"/>
    <s v="26-49%"/>
    <s v="5-25%"/>
    <s v="26-49%"/>
    <x v="2"/>
    <x v="4"/>
    <x v="2"/>
    <x v="3"/>
    <x v="2"/>
    <x v="13"/>
    <x v="0"/>
    <x v="0"/>
    <x v="0"/>
    <x v="1"/>
  </r>
  <r>
    <s v="P108"/>
    <s v="P107"/>
    <n v="2"/>
    <s v="ABAJI RAVSAHEB WADJE"/>
    <x v="12"/>
    <x v="0"/>
    <d v="2021-04-14T00:00:00"/>
    <m/>
    <s v="VI"/>
    <x v="1"/>
    <x v="3"/>
    <s v="5-25%"/>
    <s v="5-25%"/>
    <s v="5-25%"/>
    <s v="26-49%"/>
    <x v="3"/>
    <x v="3"/>
    <x v="3"/>
    <x v="3"/>
    <x v="2"/>
    <x v="14"/>
    <x v="0"/>
    <x v="0"/>
    <x v="0"/>
    <x v="1"/>
  </r>
  <r>
    <s v="P109"/>
    <s v="P108"/>
    <n v="5"/>
    <s v="ANGAD ASARAM KATE"/>
    <x v="28"/>
    <x v="0"/>
    <d v="2021-06-09T00:00:00"/>
    <m/>
    <s v="VI"/>
    <x v="1"/>
    <x v="3"/>
    <s v="26-49%"/>
    <s v="5-25%"/>
    <s v="5-25%"/>
    <s v="5-25%"/>
    <x v="3"/>
    <x v="2"/>
    <x v="3"/>
    <x v="3"/>
    <x v="3"/>
    <x v="14"/>
    <x v="0"/>
    <x v="0"/>
    <x v="0"/>
    <x v="1"/>
  </r>
  <r>
    <s v="P110"/>
    <s v="P109"/>
    <n v="14"/>
    <s v="CHANDRABHAN SAKHAHARI_x000a_SHINDE"/>
    <x v="31"/>
    <x v="0"/>
    <d v="2021-07-29T00:00:00"/>
    <m/>
    <s v="VI"/>
    <x v="16"/>
    <x v="4"/>
    <s v="5-25%"/>
    <s v="26-49%"/>
    <s v="5-25%"/>
    <s v="26-49%"/>
    <x v="4"/>
    <x v="3"/>
    <x v="2"/>
    <x v="3"/>
    <x v="2"/>
    <x v="14"/>
    <x v="0"/>
    <x v="0"/>
    <x v="0"/>
    <x v="1"/>
  </r>
  <r>
    <s v="P111"/>
    <s v="P110"/>
    <n v="24"/>
    <s v="GANGADHAR NAMDEV SALUNKE"/>
    <x v="9"/>
    <x v="0"/>
    <d v="2021-05-27T00:00:00"/>
    <m/>
    <s v="VI"/>
    <x v="1"/>
    <x v="3"/>
    <s v="&lt;5%"/>
    <s v="5-25%"/>
    <s v="5-25%"/>
    <s v="50-75%"/>
    <x v="3"/>
    <x v="4"/>
    <x v="3"/>
    <x v="3"/>
    <x v="1"/>
    <x v="14"/>
    <x v="0"/>
    <x v="0"/>
    <x v="0"/>
    <x v="1"/>
  </r>
  <r>
    <s v="P112"/>
    <s v="P111"/>
    <n v="64"/>
    <s v="RADHAKRUSHNA_x000a_UTTARESHWAR GAWALI"/>
    <x v="31"/>
    <x v="0"/>
    <d v="2021-08-23T00:00:00"/>
    <s v="cough and fever"/>
    <s v="VI"/>
    <x v="1"/>
    <x v="4"/>
    <s v="5-25%"/>
    <s v="26-49%"/>
    <s v="5-25%"/>
    <s v="26-49%"/>
    <x v="4"/>
    <x v="3"/>
    <x v="2"/>
    <x v="3"/>
    <x v="2"/>
    <x v="14"/>
    <x v="0"/>
    <x v="0"/>
    <x v="0"/>
    <x v="1"/>
  </r>
  <r>
    <s v="P113"/>
    <s v="P112"/>
    <n v="72"/>
    <s v="SADASHIV ASARAM DIDORE"/>
    <x v="48"/>
    <x v="0"/>
    <d v="2021-11-16T00:00:00"/>
    <m/>
    <s v="VI"/>
    <x v="4"/>
    <x v="3"/>
    <s v="5-25%"/>
    <s v="26-49%"/>
    <s v="5-25%"/>
    <s v="5-25%"/>
    <x v="3"/>
    <x v="3"/>
    <x v="2"/>
    <x v="3"/>
    <x v="3"/>
    <x v="14"/>
    <x v="0"/>
    <x v="0"/>
    <x v="0"/>
    <x v="1"/>
  </r>
  <r>
    <s v="P114"/>
    <s v="P113"/>
    <n v="80"/>
    <s v="SHAIKH RIYAZ SHAIKH ISAQ"/>
    <x v="42"/>
    <x v="0"/>
    <d v="2021-09-20T00:00:00"/>
    <m/>
    <s v="VI"/>
    <x v="4"/>
    <x v="4"/>
    <n v="0"/>
    <s v="&gt;75%"/>
    <s v="26-49%"/>
    <s v="5-25%"/>
    <x v="4"/>
    <x v="5"/>
    <x v="0"/>
    <x v="2"/>
    <x v="3"/>
    <x v="14"/>
    <x v="0"/>
    <x v="0"/>
    <x v="1"/>
    <x v="1"/>
  </r>
  <r>
    <s v="P115"/>
    <s v="P114"/>
    <n v="81"/>
    <s v="SHAKUNTALA VYANKATRAO_x000a_DAWKAR"/>
    <x v="21"/>
    <x v="1"/>
    <d v="2021-09-20T00:00:00"/>
    <m/>
    <s v="VI"/>
    <x v="4"/>
    <x v="3"/>
    <s v="5-25%"/>
    <s v="5-25%"/>
    <s v="5-25%"/>
    <s v="26-49%"/>
    <x v="3"/>
    <x v="3"/>
    <x v="3"/>
    <x v="3"/>
    <x v="2"/>
    <x v="14"/>
    <x v="0"/>
    <x v="0"/>
    <x v="0"/>
    <x v="1"/>
  </r>
  <r>
    <s v="P116"/>
    <s v="P115"/>
    <n v="120"/>
    <s v="ANKUSH PANDHARINATH MUNDE"/>
    <x v="3"/>
    <x v="0"/>
    <d v="2021-11-04T00:00:00"/>
    <m/>
    <s v="V"/>
    <x v="1"/>
    <x v="3"/>
    <s v="&lt;5%"/>
    <s v="26-49%"/>
    <s v="5-25%"/>
    <s v="26-49%"/>
    <x v="3"/>
    <x v="4"/>
    <x v="2"/>
    <x v="3"/>
    <x v="2"/>
    <x v="14"/>
    <x v="0"/>
    <x v="0"/>
    <x v="1"/>
    <x v="1"/>
  </r>
  <r>
    <s v="P117"/>
    <s v="P116"/>
    <n v="146"/>
    <s v="GANESH SUBHASH GAWARE"/>
    <x v="27"/>
    <x v="0"/>
    <d v="2021-05-25T00:00:00"/>
    <m/>
    <s v="V"/>
    <x v="0"/>
    <x v="4"/>
    <s v="5-25%"/>
    <s v="26-49%"/>
    <s v="5-25%"/>
    <s v="26-49%"/>
    <x v="4"/>
    <x v="3"/>
    <x v="2"/>
    <x v="3"/>
    <x v="2"/>
    <x v="14"/>
    <x v="0"/>
    <x v="0"/>
    <x v="1"/>
    <x v="1"/>
  </r>
  <r>
    <s v="P118"/>
    <s v="P117"/>
    <n v="170"/>
    <s v="MALATI VITHAL CHITALE"/>
    <x v="49"/>
    <x v="1"/>
    <d v="2021-09-21T00:00:00"/>
    <m/>
    <s v="V"/>
    <x v="4"/>
    <x v="4"/>
    <s v="5-25%"/>
    <s v="50-75%"/>
    <s v="&lt;5%"/>
    <s v="26-49%"/>
    <x v="4"/>
    <x v="3"/>
    <x v="1"/>
    <x v="4"/>
    <x v="2"/>
    <x v="14"/>
    <x v="0"/>
    <x v="0"/>
    <x v="1"/>
    <x v="1"/>
  </r>
  <r>
    <s v="P119"/>
    <s v="P118"/>
    <n v="190"/>
    <s v="ONKAR TUKARAM BELSARE"/>
    <x v="42"/>
    <x v="0"/>
    <d v="2021-07-24T00:00:00"/>
    <m/>
    <s v="V"/>
    <x v="10"/>
    <x v="3"/>
    <s v="26-49%"/>
    <s v="5-25%"/>
    <s v="26-49%"/>
    <s v="&lt;5%"/>
    <x v="3"/>
    <x v="2"/>
    <x v="3"/>
    <x v="2"/>
    <x v="4"/>
    <x v="14"/>
    <x v="0"/>
    <x v="1"/>
    <x v="1"/>
    <x v="1"/>
  </r>
  <r>
    <s v="P120"/>
    <s v="P119"/>
    <n v="212"/>
    <s v="SANTOSH SOPANRAO KAVHAR"/>
    <x v="50"/>
    <x v="0"/>
    <d v="2021-01-06T00:00:00"/>
    <m/>
    <s v="V"/>
    <x v="1"/>
    <x v="2"/>
    <s v="5-25%"/>
    <s v="5-25%"/>
    <s v="5-25%"/>
    <s v="5-25%"/>
    <x v="2"/>
    <x v="3"/>
    <x v="3"/>
    <x v="3"/>
    <x v="3"/>
    <x v="14"/>
    <x v="0"/>
    <x v="0"/>
    <x v="0"/>
    <x v="1"/>
  </r>
  <r>
    <s v="P121"/>
    <s v="P120"/>
    <n v="232"/>
    <s v="UNMESH UTTAM KADAM"/>
    <x v="18"/>
    <x v="0"/>
    <d v="2021-04-17T00:00:00"/>
    <m/>
    <s v="V"/>
    <x v="4"/>
    <x v="3"/>
    <s v="5-25%"/>
    <s v="26-49%"/>
    <s v="5-25%"/>
    <s v="5-25%"/>
    <x v="3"/>
    <x v="3"/>
    <x v="2"/>
    <x v="3"/>
    <x v="3"/>
    <x v="14"/>
    <x v="0"/>
    <x v="0"/>
    <x v="1"/>
    <x v="1"/>
  </r>
  <r>
    <s v="P122"/>
    <m/>
    <m/>
    <s v="MR. MALLINATH D RATHOD"/>
    <x v="14"/>
    <x v="0"/>
    <d v="2021-06-06T00:00:00"/>
    <m/>
    <m/>
    <x v="17"/>
    <x v="5"/>
    <m/>
    <m/>
    <m/>
    <m/>
    <x v="3"/>
    <x v="2"/>
    <x v="3"/>
    <x v="3"/>
    <x v="3"/>
    <x v="14"/>
    <x v="5"/>
    <x v="1"/>
    <x v="0"/>
    <x v="1"/>
  </r>
  <r>
    <s v="P123"/>
    <m/>
    <m/>
    <s v="MRS. QURESHA M SHAIKH"/>
    <x v="29"/>
    <x v="1"/>
    <d v="2021-06-06T00:00:00"/>
    <m/>
    <m/>
    <x v="13"/>
    <x v="5"/>
    <m/>
    <m/>
    <m/>
    <m/>
    <x v="3"/>
    <x v="3"/>
    <x v="3"/>
    <x v="3"/>
    <x v="2"/>
    <x v="14"/>
    <x v="4"/>
    <x v="1"/>
    <x v="0"/>
    <x v="1"/>
  </r>
  <r>
    <s v="P124"/>
    <m/>
    <m/>
    <s v="PARSHURAM SITARAM VARMA "/>
    <x v="3"/>
    <x v="0"/>
    <d v="2021-10-06T00:00:00"/>
    <m/>
    <m/>
    <x v="13"/>
    <x v="5"/>
    <m/>
    <m/>
    <m/>
    <m/>
    <x v="2"/>
    <x v="3"/>
    <x v="3"/>
    <x v="3"/>
    <x v="3"/>
    <x v="14"/>
    <x v="4"/>
    <x v="1"/>
    <x v="0"/>
    <x v="1"/>
  </r>
  <r>
    <s v="P125"/>
    <s v="P121"/>
    <n v="1"/>
    <s v="AARTI DEEPAK MULAY"/>
    <x v="51"/>
    <x v="1"/>
    <d v="2021-11-04T00:00:00"/>
    <m/>
    <s v="VI"/>
    <x v="1"/>
    <x v="3"/>
    <s v="5-25%"/>
    <s v="5-25%"/>
    <s v="5-25%"/>
    <s v="5-25%"/>
    <x v="3"/>
    <x v="3"/>
    <x v="3"/>
    <x v="3"/>
    <x v="3"/>
    <x v="15"/>
    <x v="0"/>
    <x v="0"/>
    <x v="1"/>
    <x v="1"/>
  </r>
  <r>
    <s v="P126"/>
    <s v="P122"/>
    <n v="7"/>
    <s v="ARJUN VITHHAL SONTAKKE"/>
    <x v="34"/>
    <x v="0"/>
    <d v="2021-04-04T00:00:00"/>
    <m/>
    <s v="VI"/>
    <x v="18"/>
    <x v="3"/>
    <s v="5-25%"/>
    <s v="5-25%"/>
    <s v="5-25%"/>
    <s v="5-25%"/>
    <x v="3"/>
    <x v="3"/>
    <x v="3"/>
    <x v="3"/>
    <x v="3"/>
    <x v="15"/>
    <x v="0"/>
    <x v="2"/>
    <x v="0"/>
    <x v="1"/>
  </r>
  <r>
    <s v="P127"/>
    <s v="P123"/>
    <n v="13"/>
    <s v="CHAMPABAI MADANRAO_x000a_WANAKHEDE"/>
    <x v="17"/>
    <x v="1"/>
    <d v="2021-05-18T00:00:00"/>
    <m/>
    <s v="VI"/>
    <x v="16"/>
    <x v="3"/>
    <s v="5-25%"/>
    <s v="5-25%"/>
    <s v="5-25%"/>
    <s v="5-25%"/>
    <x v="3"/>
    <x v="3"/>
    <x v="3"/>
    <x v="3"/>
    <x v="3"/>
    <x v="15"/>
    <x v="0"/>
    <x v="0"/>
    <x v="0"/>
    <x v="1"/>
  </r>
  <r>
    <s v="P128"/>
    <s v="P124"/>
    <n v="25"/>
    <s v="GAUTAMCHAND PUKHARAJ_x000a_PARAKH"/>
    <x v="19"/>
    <x v="0"/>
    <d v="2021-02-04T00:00:00"/>
    <m/>
    <s v="VI"/>
    <x v="1"/>
    <x v="4"/>
    <s v="5-25%"/>
    <s v="26-49%"/>
    <s v="5-25%"/>
    <s v="5-25%"/>
    <x v="4"/>
    <x v="3"/>
    <x v="2"/>
    <x v="3"/>
    <x v="3"/>
    <x v="15"/>
    <x v="0"/>
    <x v="0"/>
    <x v="1"/>
    <x v="1"/>
  </r>
  <r>
    <s v="P129"/>
    <s v="P125"/>
    <n v="30"/>
    <s v="YOGESH BHAGINATH GHUME"/>
    <x v="29"/>
    <x v="0"/>
    <d v="2021-06-25T00:00:00"/>
    <m/>
    <s v="VI"/>
    <x v="10"/>
    <x v="3"/>
    <s v="5-25%"/>
    <s v="5-25%"/>
    <s v="5-25%"/>
    <s v="5-25%"/>
    <x v="3"/>
    <x v="3"/>
    <x v="3"/>
    <x v="3"/>
    <x v="3"/>
    <x v="15"/>
    <x v="0"/>
    <x v="1"/>
    <x v="0"/>
    <x v="1"/>
  </r>
  <r>
    <s v="P130"/>
    <s v="P126"/>
    <n v="42"/>
    <s v="KULJEET SINGH HARVINDER_x000a_SINGH NEB"/>
    <x v="2"/>
    <x v="0"/>
    <d v="2021-04-23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1"/>
    <s v="P127"/>
    <n v="58"/>
    <s v="NIKHIL SHRIRAM TAYADE"/>
    <x v="52"/>
    <x v="0"/>
    <d v="2021-04-26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2"/>
    <s v="P128"/>
    <n v="74"/>
    <s v="SAMBHAJI HARIBHAU BODHARE "/>
    <x v="53"/>
    <x v="0"/>
    <d v="2021-06-25T00:00:00"/>
    <m/>
    <s v="VI"/>
    <x v="1"/>
    <x v="2"/>
    <s v="&lt;5%"/>
    <s v="5-25%"/>
    <s v="5-25%"/>
    <s v="5-25%"/>
    <x v="2"/>
    <x v="4"/>
    <x v="3"/>
    <x v="3"/>
    <x v="3"/>
    <x v="15"/>
    <x v="0"/>
    <x v="0"/>
    <x v="0"/>
    <x v="1"/>
  </r>
  <r>
    <s v="P133"/>
    <s v="P129"/>
    <n v="78"/>
    <s v="SATYABHAMA SHANKAR_x000a_GOUTTI"/>
    <x v="18"/>
    <x v="1"/>
    <d v="2021-01-06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4"/>
    <s v="P130"/>
    <n v="94"/>
    <s v="TRIMBAK BHIMARAV RAUT"/>
    <x v="16"/>
    <x v="0"/>
    <d v="2021-01-08T00:00:00"/>
    <m/>
    <s v="VI"/>
    <x v="4"/>
    <x v="3"/>
    <s v="5-25%"/>
    <s v="26-49%"/>
    <s v="&lt;5%"/>
    <s v="5-25%"/>
    <x v="3"/>
    <x v="3"/>
    <x v="2"/>
    <x v="4"/>
    <x v="3"/>
    <x v="15"/>
    <x v="0"/>
    <x v="0"/>
    <x v="0"/>
    <x v="1"/>
  </r>
  <r>
    <s v="P135"/>
    <s v="P131"/>
    <n v="119"/>
    <s v="ANIL LAXMAN SHRIKHANDE"/>
    <x v="43"/>
    <x v="0"/>
    <d v="2021-06-19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6"/>
    <s v="P132"/>
    <n v="140"/>
    <s v="DADASAHEB SHRIPATI KADAM"/>
    <x v="28"/>
    <x v="0"/>
    <d v="2021-12-09T00:00:00"/>
    <m/>
    <s v="V"/>
    <x v="0"/>
    <x v="3"/>
    <s v="5-25%"/>
    <s v="5-25%"/>
    <s v="5-25%"/>
    <s v="5-25%"/>
    <x v="3"/>
    <x v="3"/>
    <x v="3"/>
    <x v="3"/>
    <x v="3"/>
    <x v="15"/>
    <x v="0"/>
    <x v="0"/>
    <x v="0"/>
    <x v="1"/>
  </r>
  <r>
    <s v="P137"/>
    <s v="P133"/>
    <n v="141"/>
    <s v="DAMODHAR YASHWANTA_x000a_GADEKAR"/>
    <x v="3"/>
    <x v="0"/>
    <d v="2021-05-30T00:00:00"/>
    <m/>
    <s v="V"/>
    <x v="10"/>
    <x v="3"/>
    <s v="&lt;5%"/>
    <s v="5-25%"/>
    <s v="5-25%"/>
    <s v="26-49%"/>
    <x v="3"/>
    <x v="4"/>
    <x v="3"/>
    <x v="3"/>
    <x v="2"/>
    <x v="15"/>
    <x v="0"/>
    <x v="1"/>
    <x v="0"/>
    <x v="1"/>
  </r>
  <r>
    <s v="P138"/>
    <s v="P134"/>
    <n v="156"/>
    <s v="JEEVAN GANGARAM MAVRE"/>
    <x v="8"/>
    <x v="0"/>
    <d v="2021-04-06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9"/>
    <s v="P135"/>
    <n v="162"/>
    <s v="KUSUM GOPAL DAHAD"/>
    <x v="9"/>
    <x v="1"/>
    <d v="2021-10-04T00:00:00"/>
    <m/>
    <s v="V"/>
    <x v="1"/>
    <x v="3"/>
    <s v="5-25%"/>
    <s v="5-25%"/>
    <s v="5-25%"/>
    <s v="5-25%"/>
    <x v="3"/>
    <x v="3"/>
    <x v="3"/>
    <x v="3"/>
    <x v="3"/>
    <x v="15"/>
    <x v="0"/>
    <x v="0"/>
    <x v="1"/>
    <x v="1"/>
  </r>
  <r>
    <s v="P140"/>
    <s v="P136"/>
    <n v="171"/>
    <s v="MANDABAI ASHOKRAO_x000a_BARGAJE"/>
    <x v="16"/>
    <x v="1"/>
    <d v="2021-09-25T00:00:00"/>
    <m/>
    <s v="V"/>
    <x v="1"/>
    <x v="3"/>
    <s v="&lt;5%"/>
    <s v="5-25%"/>
    <s v="5-25%"/>
    <s v="26-49%"/>
    <x v="3"/>
    <x v="4"/>
    <x v="3"/>
    <x v="3"/>
    <x v="2"/>
    <x v="15"/>
    <x v="0"/>
    <x v="0"/>
    <x v="1"/>
    <x v="1"/>
  </r>
  <r>
    <s v="P141"/>
    <s v="P137"/>
    <n v="173"/>
    <s v="MARIYA BATHUWEL GADKARI"/>
    <x v="33"/>
    <x v="1"/>
    <d v="2021-01-06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42"/>
    <s v="P138"/>
    <n v="195"/>
    <s v="PRABHAKAR KASHINATH_x000a_KANADE"/>
    <x v="12"/>
    <x v="0"/>
    <d v="2021-09-22T00:00:00"/>
    <m/>
    <s v="V"/>
    <x v="19"/>
    <x v="3"/>
    <s v="&lt;5%"/>
    <s v="26-49%"/>
    <s v="5-25%"/>
    <s v="5-25%"/>
    <x v="3"/>
    <x v="4"/>
    <x v="2"/>
    <x v="3"/>
    <x v="3"/>
    <x v="15"/>
    <x v="0"/>
    <x v="0"/>
    <x v="1"/>
    <x v="1"/>
  </r>
  <r>
    <s v="P143"/>
    <s v="P139"/>
    <n v="218"/>
    <s v="SHANTABAI ANANDRAO AUTE "/>
    <x v="37"/>
    <x v="1"/>
    <d v="2021-05-11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44"/>
    <m/>
    <m/>
    <s v="KACHARODDIN CHANDULAL PATHAN "/>
    <x v="32"/>
    <x v="0"/>
    <d v="2021-08-06T00:00:00"/>
    <m/>
    <m/>
    <x v="13"/>
    <x v="5"/>
    <m/>
    <m/>
    <m/>
    <m/>
    <x v="3"/>
    <x v="4"/>
    <x v="2"/>
    <x v="3"/>
    <x v="3"/>
    <x v="15"/>
    <x v="4"/>
    <x v="1"/>
    <x v="0"/>
    <x v="1"/>
  </r>
  <r>
    <s v="P145"/>
    <m/>
    <m/>
    <s v="RAJENDRA KRUSHNATH MALI "/>
    <x v="5"/>
    <x v="0"/>
    <d v="2021-07-06T00:00:00"/>
    <m/>
    <m/>
    <x v="13"/>
    <x v="5"/>
    <m/>
    <m/>
    <m/>
    <m/>
    <x v="3"/>
    <x v="3"/>
    <x v="3"/>
    <x v="3"/>
    <x v="3"/>
    <x v="15"/>
    <x v="4"/>
    <x v="1"/>
    <x v="0"/>
    <x v="1"/>
  </r>
  <r>
    <s v="P146"/>
    <s v="P140"/>
    <n v="12"/>
    <s v="BHASKAR RAGHUNATHRAO_x000a_TENGSE"/>
    <x v="17"/>
    <x v="0"/>
    <d v="2021-04-05T00:00:00"/>
    <m/>
    <s v="VI"/>
    <x v="0"/>
    <x v="3"/>
    <s v="5-25%"/>
    <s v="&lt;5%"/>
    <s v="5-25%"/>
    <s v="5-25%"/>
    <x v="3"/>
    <x v="3"/>
    <x v="4"/>
    <x v="3"/>
    <x v="3"/>
    <x v="16"/>
    <x v="0"/>
    <x v="0"/>
    <x v="0"/>
    <x v="1"/>
  </r>
  <r>
    <s v="P147"/>
    <s v="P141"/>
    <n v="16"/>
    <s v="CHETAN SHAMSUNDAR_x000a_AGRAWAL"/>
    <x v="29"/>
    <x v="0"/>
    <d v="2021-05-28T00:00:00"/>
    <m/>
    <s v="VI"/>
    <x v="20"/>
    <x v="4"/>
    <s v="5-25%"/>
    <s v="5-25%"/>
    <s v="5-25%"/>
    <s v="5-25%"/>
    <x v="4"/>
    <x v="3"/>
    <x v="3"/>
    <x v="3"/>
    <x v="3"/>
    <x v="16"/>
    <x v="6"/>
    <x v="1"/>
    <x v="0"/>
    <x v="1"/>
  </r>
  <r>
    <s v="P148"/>
    <s v="P142"/>
    <n v="32"/>
    <s v="MRS. JIGNYASA MAHENDRA GOSAVI"/>
    <x v="43"/>
    <x v="1"/>
    <d v="2021-05-20T00:00:00"/>
    <m/>
    <s v="VI"/>
    <x v="1"/>
    <x v="3"/>
    <n v="0"/>
    <s v="26-49%"/>
    <s v="&lt;5%"/>
    <s v="26-49%"/>
    <x v="3"/>
    <x v="5"/>
    <x v="2"/>
    <x v="4"/>
    <x v="2"/>
    <x v="16"/>
    <x v="0"/>
    <x v="0"/>
    <x v="1"/>
    <x v="1"/>
  </r>
  <r>
    <s v="P149"/>
    <s v="P143"/>
    <n v="47"/>
    <s v="MALATI BHAGWANRAO_x000a_CHANDODKAR"/>
    <x v="20"/>
    <x v="1"/>
    <d v="2021-01-05T00:00:00"/>
    <m/>
    <s v="VI"/>
    <x v="4"/>
    <x v="3"/>
    <s v="&lt;5%"/>
    <s v="5-25%"/>
    <s v="5-25%"/>
    <s v="5-25%"/>
    <x v="3"/>
    <x v="4"/>
    <x v="3"/>
    <x v="3"/>
    <x v="3"/>
    <x v="16"/>
    <x v="0"/>
    <x v="0"/>
    <x v="1"/>
    <x v="1"/>
  </r>
  <r>
    <s v="P150"/>
    <s v="P144"/>
    <n v="56"/>
    <s v="NAVNATH MACHHINDRA KOLGE"/>
    <x v="45"/>
    <x v="0"/>
    <d v="2021-01-05T00:00:00"/>
    <m/>
    <s v="VI"/>
    <x v="4"/>
    <x v="3"/>
    <s v="&lt;5%"/>
    <s v="5-25%"/>
    <s v="5-25%"/>
    <s v="5-25%"/>
    <x v="3"/>
    <x v="4"/>
    <x v="3"/>
    <x v="3"/>
    <x v="3"/>
    <x v="16"/>
    <x v="0"/>
    <x v="0"/>
    <x v="1"/>
    <x v="1"/>
  </r>
  <r>
    <s v="P151"/>
    <s v="P145"/>
    <n v="158"/>
    <s v="KAKASAHEB GADEKAR"/>
    <x v="36"/>
    <x v="0"/>
    <d v="2021-09-15T00:00:00"/>
    <m/>
    <s v="V"/>
    <x v="10"/>
    <x v="3"/>
    <s v="&lt;5%"/>
    <s v="26-49%"/>
    <s v="&lt;5%"/>
    <s v="5-25%"/>
    <x v="3"/>
    <x v="4"/>
    <x v="2"/>
    <x v="4"/>
    <x v="3"/>
    <x v="16"/>
    <x v="0"/>
    <x v="1"/>
    <x v="0"/>
    <x v="1"/>
  </r>
  <r>
    <s v="P152"/>
    <s v="P146"/>
    <n v="172"/>
    <s v="MANOJ SATYANARAYAN_x000a_JAISWAL"/>
    <x v="18"/>
    <x v="0"/>
    <d v="2021-05-24T00:00:00"/>
    <m/>
    <s v="V"/>
    <x v="10"/>
    <x v="3"/>
    <s v="&lt;5%"/>
    <s v="5-25%"/>
    <s v="5-25%"/>
    <s v="5-25%"/>
    <x v="3"/>
    <x v="4"/>
    <x v="3"/>
    <x v="3"/>
    <x v="3"/>
    <x v="16"/>
    <x v="0"/>
    <x v="1"/>
    <x v="0"/>
    <x v="1"/>
  </r>
  <r>
    <s v="P153"/>
    <s v="P147"/>
    <n v="208"/>
    <s v="SADHANA AMBADAS KALE"/>
    <x v="1"/>
    <x v="1"/>
    <d v="2021-05-07T00:00:00"/>
    <m/>
    <s v="V"/>
    <x v="10"/>
    <x v="3"/>
    <s v="&lt;5%"/>
    <s v="5-25%"/>
    <s v="5-25%"/>
    <s v="5-25%"/>
    <x v="3"/>
    <x v="4"/>
    <x v="3"/>
    <x v="3"/>
    <x v="3"/>
    <x v="16"/>
    <x v="0"/>
    <x v="1"/>
    <x v="0"/>
    <x v="1"/>
  </r>
  <r>
    <s v="P154"/>
    <s v="P148"/>
    <n v="211"/>
    <s v="SANGITA RAJENDRA PATIL"/>
    <x v="7"/>
    <x v="1"/>
    <d v="2021-02-04T00:00:00"/>
    <m/>
    <s v="V"/>
    <x v="1"/>
    <x v="3"/>
    <s v="&lt;5%"/>
    <s v="5-25%"/>
    <s v="5-25%"/>
    <s v="5-25%"/>
    <x v="3"/>
    <x v="4"/>
    <x v="3"/>
    <x v="3"/>
    <x v="3"/>
    <x v="16"/>
    <x v="0"/>
    <x v="0"/>
    <x v="1"/>
    <x v="1"/>
  </r>
  <r>
    <s v="P155"/>
    <s v="P149"/>
    <n v="260"/>
    <s v="UMESH GANGADHAR NARWADE"/>
    <x v="50"/>
    <x v="0"/>
    <d v="2021-08-15T00:00:00"/>
    <m/>
    <s v="III"/>
    <x v="21"/>
    <x v="3"/>
    <s v="&lt;5%"/>
    <s v="26-49%"/>
    <s v="&lt;5%"/>
    <s v="5-25%"/>
    <x v="3"/>
    <x v="4"/>
    <x v="2"/>
    <x v="4"/>
    <x v="3"/>
    <x v="16"/>
    <x v="2"/>
    <x v="1"/>
    <x v="1"/>
    <x v="1"/>
  </r>
  <r>
    <s v="P156"/>
    <m/>
    <m/>
    <s v="CHANDSO KONDAJI PATEL "/>
    <x v="6"/>
    <x v="0"/>
    <d v="2021-11-06T00:00:00"/>
    <m/>
    <m/>
    <x v="22"/>
    <x v="5"/>
    <m/>
    <m/>
    <m/>
    <m/>
    <x v="3"/>
    <x v="4"/>
    <x v="3"/>
    <x v="3"/>
    <x v="3"/>
    <x v="16"/>
    <x v="3"/>
    <x v="1"/>
    <x v="0"/>
    <x v="1"/>
  </r>
  <r>
    <s v="P157"/>
    <m/>
    <m/>
    <s v="KISHOR VILAS KHARADE "/>
    <x v="54"/>
    <x v="0"/>
    <d v="2021-09-06T00:00:00"/>
    <m/>
    <m/>
    <x v="23"/>
    <x v="5"/>
    <m/>
    <m/>
    <m/>
    <m/>
    <x v="4"/>
    <x v="3"/>
    <x v="3"/>
    <x v="3"/>
    <x v="3"/>
    <x v="16"/>
    <x v="5"/>
    <x v="1"/>
    <x v="0"/>
    <x v="1"/>
  </r>
  <r>
    <s v="P158"/>
    <m/>
    <m/>
    <s v="NAHEED SHAKEEL ABAJI "/>
    <x v="41"/>
    <x v="1"/>
    <d v="2021-10-06T00:00:00"/>
    <m/>
    <m/>
    <x v="13"/>
    <x v="5"/>
    <m/>
    <m/>
    <m/>
    <m/>
    <x v="3"/>
    <x v="4"/>
    <x v="3"/>
    <x v="3"/>
    <x v="3"/>
    <x v="16"/>
    <x v="4"/>
    <x v="1"/>
    <x v="0"/>
    <x v="1"/>
  </r>
  <r>
    <s v="P159"/>
    <m/>
    <m/>
    <s v="QAMRUNNISA AB KADAR BAGWAN "/>
    <x v="32"/>
    <x v="1"/>
    <d v="2021-06-15T00:00:00"/>
    <m/>
    <m/>
    <x v="13"/>
    <x v="5"/>
    <m/>
    <m/>
    <m/>
    <m/>
    <x v="3"/>
    <x v="4"/>
    <x v="3"/>
    <x v="3"/>
    <x v="3"/>
    <x v="16"/>
    <x v="4"/>
    <x v="1"/>
    <x v="0"/>
    <x v="1"/>
  </r>
  <r>
    <s v="P160"/>
    <m/>
    <m/>
    <s v="SUBHASH BHAGWAT PAWAR "/>
    <x v="32"/>
    <x v="0"/>
    <d v="2021-09-06T00:00:00"/>
    <m/>
    <m/>
    <x v="12"/>
    <x v="5"/>
    <m/>
    <m/>
    <m/>
    <m/>
    <x v="3"/>
    <x v="4"/>
    <x v="3"/>
    <x v="3"/>
    <x v="3"/>
    <x v="16"/>
    <x v="3"/>
    <x v="1"/>
    <x v="0"/>
    <x v="1"/>
  </r>
  <r>
    <s v="P161"/>
    <s v="P151"/>
    <n v="26"/>
    <s v="GOPAL SAKHARAM RAUT"/>
    <x v="34"/>
    <x v="0"/>
    <d v="2021-01-06T00:00:00"/>
    <m/>
    <s v="VI"/>
    <x v="10"/>
    <x v="3"/>
    <s v="5-25%"/>
    <s v="5-25%"/>
    <s v="&lt;5%"/>
    <s v="&lt;5%"/>
    <x v="3"/>
    <x v="3"/>
    <x v="3"/>
    <x v="4"/>
    <x v="4"/>
    <x v="17"/>
    <x v="0"/>
    <x v="1"/>
    <x v="0"/>
    <x v="2"/>
  </r>
  <r>
    <s v="P162"/>
    <s v="P152"/>
    <n v="27"/>
    <s v="GORAKH HARICHANDRA_x000a_KHANDEBHRAD"/>
    <x v="27"/>
    <x v="0"/>
    <d v="2021-09-18T00:00:00"/>
    <m/>
    <s v="VI"/>
    <x v="1"/>
    <x v="4"/>
    <s v="5-25%"/>
    <s v="5-25%"/>
    <s v="5-25%"/>
    <s v="&lt;5%"/>
    <x v="4"/>
    <x v="3"/>
    <x v="3"/>
    <x v="3"/>
    <x v="4"/>
    <x v="17"/>
    <x v="0"/>
    <x v="0"/>
    <x v="0"/>
    <x v="2"/>
  </r>
  <r>
    <s v="P163"/>
    <s v="P153"/>
    <n v="34"/>
    <s v="JUMMA SHAHA AHMAD SHAHA"/>
    <x v="5"/>
    <x v="0"/>
    <d v="2021-08-30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4"/>
    <s v="P154"/>
    <n v="45"/>
    <s v="MADHURI VASANTRAO_x000a_MAGHADE"/>
    <x v="11"/>
    <x v="1"/>
    <d v="2021-09-22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5"/>
    <s v="P155"/>
    <n v="62"/>
    <s v="PRAMILA RAJENDRA_x000a_KHIVASARA"/>
    <x v="32"/>
    <x v="1"/>
    <d v="2021-05-24T00:00:00"/>
    <m/>
    <s v="VI"/>
    <x v="24"/>
    <x v="3"/>
    <s v="5-25%"/>
    <s v="26-49%"/>
    <n v="0"/>
    <s v="&lt;5%"/>
    <x v="3"/>
    <x v="3"/>
    <x v="2"/>
    <x v="5"/>
    <x v="4"/>
    <x v="17"/>
    <x v="0"/>
    <x v="1"/>
    <x v="1"/>
    <x v="2"/>
  </r>
  <r>
    <s v="P166"/>
    <s v="P156"/>
    <n v="73"/>
    <s v="SAIDAS SHIVDAS PAWAR"/>
    <x v="15"/>
    <x v="0"/>
    <d v="2021-04-20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7"/>
    <s v="P157"/>
    <n v="128"/>
    <s v="BABURAO TUKARAM_x000a_CHOUDHARI"/>
    <x v="33"/>
    <x v="0"/>
    <d v="2021-09-17T00:00:00"/>
    <m/>
    <s v="V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8"/>
    <s v="P158"/>
    <n v="145"/>
    <s v="ESHWAR KRISHNARAO MOHITE"/>
    <x v="50"/>
    <x v="0"/>
    <d v="2021-03-04T00:00:00"/>
    <m/>
    <s v="V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9"/>
    <s v="P159"/>
    <n v="152"/>
    <s v="JAINUBI RASUL SAYYAD"/>
    <x v="13"/>
    <x v="1"/>
    <d v="2021-09-18T00:00:00"/>
    <m/>
    <s v="V"/>
    <x v="1"/>
    <x v="4"/>
    <s v="&lt;5%"/>
    <s v="5-25%"/>
    <s v="5-25%"/>
    <s v="5-25%"/>
    <x v="4"/>
    <x v="4"/>
    <x v="3"/>
    <x v="3"/>
    <x v="3"/>
    <x v="17"/>
    <x v="0"/>
    <x v="0"/>
    <x v="1"/>
    <x v="2"/>
  </r>
  <r>
    <s v="P170"/>
    <s v="P160"/>
    <n v="189"/>
    <s v="OM AMBADAS PAGAR"/>
    <x v="55"/>
    <x v="0"/>
    <d v="2021-04-06T00:00:00"/>
    <m/>
    <s v="V"/>
    <x v="10"/>
    <x v="4"/>
    <s v="&lt;5%"/>
    <s v="&lt;5%"/>
    <s v="5-25%"/>
    <s v="26-49%"/>
    <x v="4"/>
    <x v="4"/>
    <x v="4"/>
    <x v="3"/>
    <x v="2"/>
    <x v="17"/>
    <x v="0"/>
    <x v="1"/>
    <x v="0"/>
    <x v="2"/>
  </r>
  <r>
    <s v="P171"/>
    <s v="P161"/>
    <n v="207"/>
    <s v="SABIYA KHATOON ABDULLA_x000a_KHAN"/>
    <x v="41"/>
    <x v="1"/>
    <d v="2021-06-09T00:00:00"/>
    <m/>
    <s v="V"/>
    <x v="25"/>
    <x v="3"/>
    <n v="0"/>
    <s v="5-25%"/>
    <s v="5-25%"/>
    <s v="5-25%"/>
    <x v="3"/>
    <x v="5"/>
    <x v="3"/>
    <x v="3"/>
    <x v="3"/>
    <x v="17"/>
    <x v="0"/>
    <x v="1"/>
    <x v="1"/>
    <x v="2"/>
  </r>
  <r>
    <s v="P172"/>
    <s v="P162"/>
    <n v="261"/>
    <s v="VAISHNAVI GANESH_x000a_NIMBALKAR"/>
    <x v="56"/>
    <x v="1"/>
    <d v="2021-05-23T00:00:00"/>
    <m/>
    <s v="III"/>
    <x v="21"/>
    <x v="6"/>
    <n v="0"/>
    <s v="5-25%"/>
    <s v="5-25%"/>
    <s v="50-75%"/>
    <x v="5"/>
    <x v="5"/>
    <x v="3"/>
    <x v="3"/>
    <x v="1"/>
    <x v="17"/>
    <x v="2"/>
    <x v="1"/>
    <x v="1"/>
    <x v="2"/>
  </r>
  <r>
    <s v="P173"/>
    <m/>
    <m/>
    <s v="FULAN HANMANTRAO DESHMUKH "/>
    <x v="31"/>
    <x v="1"/>
    <d v="2021-06-19T00:00:00"/>
    <m/>
    <m/>
    <x v="26"/>
    <x v="5"/>
    <m/>
    <m/>
    <m/>
    <m/>
    <x v="4"/>
    <x v="4"/>
    <x v="4"/>
    <x v="2"/>
    <x v="3"/>
    <x v="17"/>
    <x v="3"/>
    <x v="1"/>
    <x v="0"/>
    <x v="2"/>
  </r>
  <r>
    <s v="P174"/>
    <m/>
    <m/>
    <s v="JANKABAI SOPAN PATIL "/>
    <x v="28"/>
    <x v="1"/>
    <d v="2021-11-06T00:00:00"/>
    <m/>
    <m/>
    <x v="13"/>
    <x v="5"/>
    <m/>
    <m/>
    <m/>
    <m/>
    <x v="4"/>
    <x v="4"/>
    <x v="2"/>
    <x v="4"/>
    <x v="3"/>
    <x v="17"/>
    <x v="4"/>
    <x v="1"/>
    <x v="0"/>
    <x v="2"/>
  </r>
  <r>
    <s v="P175"/>
    <m/>
    <m/>
    <s v="SAIFAN MIRAJABEG SHAIKH "/>
    <x v="5"/>
    <x v="0"/>
    <d v="2021-08-06T00:00:00"/>
    <m/>
    <m/>
    <x v="12"/>
    <x v="5"/>
    <m/>
    <m/>
    <m/>
    <m/>
    <x v="3"/>
    <x v="4"/>
    <x v="3"/>
    <x v="3"/>
    <x v="4"/>
    <x v="17"/>
    <x v="3"/>
    <x v="1"/>
    <x v="0"/>
    <x v="2"/>
  </r>
  <r>
    <s v="P176"/>
    <s v="P163"/>
    <n v="11"/>
    <s v="YOGESHWAR SAHEBRAO_x000a_CHAVAN"/>
    <x v="50"/>
    <x v="0"/>
    <d v="2021-05-26T00:00:00"/>
    <m/>
    <s v="VI"/>
    <x v="1"/>
    <x v="3"/>
    <s v="&lt;5%"/>
    <s v="&lt;5%"/>
    <s v="5-25%"/>
    <s v="&lt;5%"/>
    <x v="3"/>
    <x v="4"/>
    <x v="4"/>
    <x v="3"/>
    <x v="4"/>
    <x v="18"/>
    <x v="0"/>
    <x v="0"/>
    <x v="0"/>
    <x v="2"/>
  </r>
  <r>
    <s v="P177"/>
    <s v="P164"/>
    <n v="38"/>
    <s v="VINOD DIGAMBER PACHPANDE"/>
    <x v="5"/>
    <x v="0"/>
    <d v="2021-06-04T00:00:00"/>
    <m/>
    <s v="VI"/>
    <x v="10"/>
    <x v="4"/>
    <s v="&lt;5%"/>
    <s v="5-25%"/>
    <s v="&lt;5%"/>
    <s v="5-25%"/>
    <x v="4"/>
    <x v="4"/>
    <x v="3"/>
    <x v="4"/>
    <x v="3"/>
    <x v="18"/>
    <x v="0"/>
    <x v="1"/>
    <x v="0"/>
    <x v="2"/>
  </r>
  <r>
    <s v="P178"/>
    <s v="P165"/>
    <n v="40"/>
    <s v="KOMAL AJABSING NAGLOT"/>
    <x v="57"/>
    <x v="1"/>
    <d v="2021-09-14T00:00:00"/>
    <m/>
    <s v="VI"/>
    <x v="1"/>
    <x v="4"/>
    <s v="&lt;5%"/>
    <s v="5-25%"/>
    <s v="&lt;5%"/>
    <s v="5-25%"/>
    <x v="4"/>
    <x v="4"/>
    <x v="3"/>
    <x v="4"/>
    <x v="3"/>
    <x v="18"/>
    <x v="0"/>
    <x v="0"/>
    <x v="1"/>
    <x v="2"/>
  </r>
  <r>
    <s v="P179"/>
    <s v="P166"/>
    <n v="71"/>
    <s v="RUPCHAND BHAULAL KASLIWAL"/>
    <x v="9"/>
    <x v="0"/>
    <d v="2021-10-04T00:00:00"/>
    <m/>
    <s v="VI"/>
    <x v="10"/>
    <x v="3"/>
    <s v="&lt;5%"/>
    <s v="5-25%"/>
    <s v="&lt;5%"/>
    <s v="&lt;5%"/>
    <x v="3"/>
    <x v="4"/>
    <x v="3"/>
    <x v="4"/>
    <x v="4"/>
    <x v="18"/>
    <x v="0"/>
    <x v="1"/>
    <x v="0"/>
    <x v="2"/>
  </r>
  <r>
    <s v="P180"/>
    <s v="P167"/>
    <n v="137"/>
    <s v="CHETAN UDHAV NERPAGAR "/>
    <x v="46"/>
    <x v="0"/>
    <d v="2021-03-04T00:00:00"/>
    <m/>
    <s v="V"/>
    <x v="0"/>
    <x v="3"/>
    <s v="5-25%"/>
    <s v="&lt;5%"/>
    <s v="&lt;5%"/>
    <s v="&lt;5%"/>
    <x v="3"/>
    <x v="3"/>
    <x v="4"/>
    <x v="4"/>
    <x v="4"/>
    <x v="18"/>
    <x v="0"/>
    <x v="0"/>
    <x v="0"/>
    <x v="2"/>
  </r>
  <r>
    <s v="P181"/>
    <s v="P168"/>
    <n v="177"/>
    <s v="MUDIT PRADEEP DHOKA"/>
    <x v="52"/>
    <x v="0"/>
    <d v="2021-08-29T00:00:00"/>
    <m/>
    <s v="V"/>
    <x v="27"/>
    <x v="3"/>
    <n v="0"/>
    <s v="5-25%"/>
    <s v="5-25%"/>
    <s v="&lt;5%"/>
    <x v="3"/>
    <x v="5"/>
    <x v="3"/>
    <x v="3"/>
    <x v="4"/>
    <x v="18"/>
    <x v="7"/>
    <x v="1"/>
    <x v="0"/>
    <x v="2"/>
  </r>
  <r>
    <s v="P182"/>
    <s v="P169"/>
    <n v="198"/>
    <s v="PREMALABAI SUDHAKAR PATIL "/>
    <x v="58"/>
    <x v="1"/>
    <d v="2021-04-20T00:00:00"/>
    <m/>
    <s v="V"/>
    <x v="1"/>
    <x v="4"/>
    <s v="5-25%"/>
    <s v="5-25%"/>
    <s v="&lt;5%"/>
    <s v="&lt;5%"/>
    <x v="4"/>
    <x v="3"/>
    <x v="3"/>
    <x v="4"/>
    <x v="4"/>
    <x v="18"/>
    <x v="0"/>
    <x v="0"/>
    <x v="1"/>
    <x v="2"/>
  </r>
  <r>
    <s v="P183"/>
    <s v="P170"/>
    <n v="224"/>
    <s v="SMITA VINAY DEO"/>
    <x v="1"/>
    <x v="1"/>
    <d v="2021-07-04T00:00:00"/>
    <m/>
    <s v="V"/>
    <x v="1"/>
    <x v="4"/>
    <s v="&lt;5%"/>
    <s v="5-25%"/>
    <s v="&lt;5%"/>
    <s v="5-25%"/>
    <x v="4"/>
    <x v="4"/>
    <x v="3"/>
    <x v="4"/>
    <x v="3"/>
    <x v="18"/>
    <x v="0"/>
    <x v="0"/>
    <x v="0"/>
    <x v="2"/>
  </r>
  <r>
    <s v="P184"/>
    <s v="P171"/>
    <n v="255"/>
    <s v="VIJAY GOVINDRAO DESHMUKH"/>
    <x v="6"/>
    <x v="0"/>
    <d v="2021-10-04T00:00:00"/>
    <m/>
    <s v="IV"/>
    <x v="28"/>
    <x v="4"/>
    <s v="5-25%"/>
    <s v="5-25%"/>
    <s v="&lt;5%"/>
    <s v="&lt;5%"/>
    <x v="4"/>
    <x v="3"/>
    <x v="3"/>
    <x v="4"/>
    <x v="4"/>
    <x v="18"/>
    <x v="8"/>
    <x v="1"/>
    <x v="1"/>
    <x v="2"/>
  </r>
  <r>
    <s v="P185"/>
    <m/>
    <m/>
    <s v="HANMANT BHIMRAO MENDGULE "/>
    <x v="2"/>
    <x v="0"/>
    <d v="2021-11-06T00:00:00"/>
    <m/>
    <m/>
    <x v="13"/>
    <x v="5"/>
    <m/>
    <m/>
    <m/>
    <m/>
    <x v="4"/>
    <x v="4"/>
    <x v="3"/>
    <x v="4"/>
    <x v="3"/>
    <x v="18"/>
    <x v="4"/>
    <x v="1"/>
    <x v="0"/>
    <x v="2"/>
  </r>
  <r>
    <s v="P186"/>
    <m/>
    <m/>
    <s v="MAHESH DATTA BHOSALE "/>
    <x v="8"/>
    <x v="0"/>
    <d v="2021-07-06T00:00:00"/>
    <m/>
    <m/>
    <x v="13"/>
    <x v="5"/>
    <m/>
    <m/>
    <m/>
    <m/>
    <x v="3"/>
    <x v="4"/>
    <x v="4"/>
    <x v="4"/>
    <x v="3"/>
    <x v="18"/>
    <x v="4"/>
    <x v="1"/>
    <x v="0"/>
    <x v="2"/>
  </r>
  <r>
    <s v="P187"/>
    <m/>
    <m/>
    <s v="NOORJAHAN VAJIR KARAJGI "/>
    <x v="11"/>
    <x v="1"/>
    <d v="2021-11-06T00:00:00"/>
    <m/>
    <m/>
    <x v="13"/>
    <x v="5"/>
    <m/>
    <m/>
    <m/>
    <m/>
    <x v="4"/>
    <x v="4"/>
    <x v="3"/>
    <x v="4"/>
    <x v="3"/>
    <x v="18"/>
    <x v="4"/>
    <x v="1"/>
    <x v="0"/>
    <x v="2"/>
  </r>
  <r>
    <s v="P188"/>
    <m/>
    <m/>
    <s v="SATYAN PANDITRAO ANDHALE "/>
    <x v="13"/>
    <x v="0"/>
    <d v="2021-09-06T00:00:00"/>
    <m/>
    <m/>
    <x v="12"/>
    <x v="5"/>
    <m/>
    <m/>
    <m/>
    <m/>
    <x v="4"/>
    <x v="4"/>
    <x v="4"/>
    <x v="3"/>
    <x v="3"/>
    <x v="18"/>
    <x v="3"/>
    <x v="1"/>
    <x v="0"/>
    <x v="2"/>
  </r>
  <r>
    <s v="P189"/>
    <m/>
    <m/>
    <s v="SUNIL INDRAJEET GHADAGE "/>
    <x v="41"/>
    <x v="0"/>
    <d v="2021-11-06T00:00:00"/>
    <m/>
    <m/>
    <x v="29"/>
    <x v="5"/>
    <m/>
    <m/>
    <m/>
    <m/>
    <x v="4"/>
    <x v="4"/>
    <x v="3"/>
    <x v="4"/>
    <x v="3"/>
    <x v="18"/>
    <x v="3"/>
    <x v="1"/>
    <x v="0"/>
    <x v="2"/>
  </r>
  <r>
    <s v="P190"/>
    <s v="P172"/>
    <n v="6"/>
    <s v="ARJUN RAMCHANDRA GAIKE"/>
    <x v="18"/>
    <x v="0"/>
    <d v="2021-04-30T00:00:00"/>
    <m/>
    <s v="VI"/>
    <x v="0"/>
    <x v="6"/>
    <n v="0"/>
    <s v="5-25%"/>
    <s v="5-25%"/>
    <s v="5-25%"/>
    <x v="5"/>
    <x v="5"/>
    <x v="3"/>
    <x v="3"/>
    <x v="3"/>
    <x v="19"/>
    <x v="0"/>
    <x v="0"/>
    <x v="0"/>
    <x v="2"/>
  </r>
  <r>
    <s v="P191"/>
    <s v="P173"/>
    <n v="8"/>
    <s v="BALAJI VITTHALRAO SHINDE"/>
    <x v="32"/>
    <x v="0"/>
    <d v="2021-05-09T00:00:00"/>
    <m/>
    <s v="VI"/>
    <x v="1"/>
    <x v="4"/>
    <s v="&lt;5%"/>
    <s v="5-25%"/>
    <s v="&lt;5%"/>
    <s v="&lt;5%"/>
    <x v="4"/>
    <x v="4"/>
    <x v="3"/>
    <x v="4"/>
    <x v="4"/>
    <x v="19"/>
    <x v="0"/>
    <x v="0"/>
    <x v="1"/>
    <x v="2"/>
  </r>
  <r>
    <s v="P192"/>
    <s v="P174"/>
    <n v="22"/>
    <s v="YOGESH PURI"/>
    <x v="29"/>
    <x v="0"/>
    <d v="2021-05-04T00:00:00"/>
    <m/>
    <s v="VI"/>
    <x v="1"/>
    <x v="4"/>
    <s v="5-25%"/>
    <s v="&lt;5%"/>
    <s v="&lt;5%"/>
    <s v="&lt;5%"/>
    <x v="4"/>
    <x v="3"/>
    <x v="4"/>
    <x v="4"/>
    <x v="4"/>
    <x v="19"/>
    <x v="0"/>
    <x v="0"/>
    <x v="0"/>
    <x v="2"/>
  </r>
  <r>
    <s v="P193"/>
    <s v="P175"/>
    <n v="36"/>
    <s v="KALYANI VITTHAL NIKAM"/>
    <x v="44"/>
    <x v="1"/>
    <d v="2021-06-16T00:00:00"/>
    <m/>
    <s v="VI"/>
    <x v="10"/>
    <x v="4"/>
    <s v="&lt;5%"/>
    <s v="5-25%"/>
    <n v="0"/>
    <s v="5-25%"/>
    <x v="4"/>
    <x v="4"/>
    <x v="3"/>
    <x v="5"/>
    <x v="3"/>
    <x v="19"/>
    <x v="0"/>
    <x v="1"/>
    <x v="0"/>
    <x v="2"/>
  </r>
  <r>
    <s v="P194"/>
    <s v="P176"/>
    <n v="46"/>
    <s v="MAHESH SOMINATH SAGADE"/>
    <x v="46"/>
    <x v="0"/>
    <d v="2021-04-05T00:00:00"/>
    <m/>
    <s v="VI"/>
    <x v="10"/>
    <x v="3"/>
    <s v="&lt;5%"/>
    <s v="&lt;5%"/>
    <s v="&lt;5%"/>
    <s v="&lt;5%"/>
    <x v="3"/>
    <x v="4"/>
    <x v="4"/>
    <x v="4"/>
    <x v="4"/>
    <x v="19"/>
    <x v="0"/>
    <x v="1"/>
    <x v="0"/>
    <x v="2"/>
  </r>
  <r>
    <s v="P195"/>
    <s v="P177"/>
    <n v="48"/>
    <s v="MANGESH PRABHAKAR NIKAM"/>
    <x v="15"/>
    <x v="0"/>
    <d v="2021-04-13T00:00:00"/>
    <m/>
    <s v="VI"/>
    <x v="1"/>
    <x v="6"/>
    <s v="5-25%"/>
    <s v="5-25%"/>
    <s v="&lt;5%"/>
    <s v="&lt;5%"/>
    <x v="5"/>
    <x v="3"/>
    <x v="3"/>
    <x v="4"/>
    <x v="4"/>
    <x v="19"/>
    <x v="0"/>
    <x v="0"/>
    <x v="0"/>
    <x v="2"/>
  </r>
  <r>
    <s v="P196"/>
    <s v="P178"/>
    <n v="70"/>
    <s v="TUKARAM MANOHARRAO_x000a_PANCHAL"/>
    <x v="48"/>
    <x v="0"/>
    <d v="2021-04-13T00:00:00"/>
    <m/>
    <s v="VI"/>
    <x v="1"/>
    <x v="4"/>
    <s v="5-25%"/>
    <s v="5-25%"/>
    <n v="0"/>
    <s v="&lt;5%"/>
    <x v="4"/>
    <x v="3"/>
    <x v="3"/>
    <x v="5"/>
    <x v="4"/>
    <x v="19"/>
    <x v="0"/>
    <x v="0"/>
    <x v="0"/>
    <x v="2"/>
  </r>
  <r>
    <s v="P197"/>
    <s v="P179"/>
    <n v="75"/>
    <s v="SAMIR KUMAR SINGH"/>
    <x v="7"/>
    <x v="0"/>
    <d v="2021-02-04T00:00:00"/>
    <m/>
    <s v="VI"/>
    <x v="10"/>
    <x v="4"/>
    <s v="&lt;5%"/>
    <s v="5-25%"/>
    <s v="&lt;5%"/>
    <s v="&lt;5%"/>
    <x v="4"/>
    <x v="4"/>
    <x v="3"/>
    <x v="4"/>
    <x v="4"/>
    <x v="19"/>
    <x v="0"/>
    <x v="1"/>
    <x v="1"/>
    <x v="2"/>
  </r>
  <r>
    <s v="P198"/>
    <s v="P180"/>
    <n v="123"/>
    <s v="ARUNA JOGENDRASINGH_x000a_CHOUHAN"/>
    <x v="5"/>
    <x v="1"/>
    <d v="2021-10-04T00:00:00"/>
    <m/>
    <s v="V"/>
    <x v="10"/>
    <x v="4"/>
    <s v="&lt;5%"/>
    <s v="5-25%"/>
    <s v="&lt;5%"/>
    <s v="&lt;5%"/>
    <x v="4"/>
    <x v="4"/>
    <x v="3"/>
    <x v="4"/>
    <x v="4"/>
    <x v="19"/>
    <x v="0"/>
    <x v="1"/>
    <x v="0"/>
    <x v="2"/>
  </r>
  <r>
    <s v="P199"/>
    <s v="P181"/>
    <n v="186"/>
    <s v="NIRMALA BHAUSAHEB TUPE"/>
    <x v="43"/>
    <x v="1"/>
    <d v="2021-11-04T00:00:00"/>
    <m/>
    <s v="V"/>
    <x v="1"/>
    <x v="4"/>
    <s v="&lt;5%"/>
    <s v="&lt;5%"/>
    <s v="&lt;5%"/>
    <s v="5-25%"/>
    <x v="4"/>
    <x v="4"/>
    <x v="4"/>
    <x v="4"/>
    <x v="3"/>
    <x v="19"/>
    <x v="0"/>
    <x v="0"/>
    <x v="0"/>
    <x v="2"/>
  </r>
  <r>
    <s v="P200"/>
    <s v="P182"/>
    <n v="230"/>
    <s v="SUSHIL JAWANJAL"/>
    <x v="1"/>
    <x v="0"/>
    <d v="2021-11-05T00:00:00"/>
    <m/>
    <s v="V"/>
    <x v="10"/>
    <x v="4"/>
    <s v="&lt;5%"/>
    <s v="5-25%"/>
    <s v="&lt;5%"/>
    <s v="&lt;5%"/>
    <x v="4"/>
    <x v="4"/>
    <x v="3"/>
    <x v="4"/>
    <x v="4"/>
    <x v="19"/>
    <x v="0"/>
    <x v="1"/>
    <x v="1"/>
    <x v="2"/>
  </r>
  <r>
    <s v="P201"/>
    <s v="P183"/>
    <n v="239"/>
    <s v="VINAYAK TUKARAM KAMBLE"/>
    <x v="58"/>
    <x v="0"/>
    <d v="2021-07-21T00:00:00"/>
    <m/>
    <s v="V"/>
    <x v="1"/>
    <x v="4"/>
    <s v="&lt;5%"/>
    <s v="5-25%"/>
    <s v="&lt;5%"/>
    <s v="&lt;5%"/>
    <x v="4"/>
    <x v="4"/>
    <x v="3"/>
    <x v="4"/>
    <x v="4"/>
    <x v="19"/>
    <x v="0"/>
    <x v="0"/>
    <x v="0"/>
    <x v="2"/>
  </r>
  <r>
    <s v="P202"/>
    <m/>
    <m/>
    <s v="ANANDA MAHADEV GUNNAR"/>
    <x v="17"/>
    <x v="0"/>
    <d v="2021-08-06T00:00:00"/>
    <m/>
    <m/>
    <x v="30"/>
    <x v="5"/>
    <m/>
    <m/>
    <m/>
    <m/>
    <x v="3"/>
    <x v="4"/>
    <x v="4"/>
    <x v="4"/>
    <x v="4"/>
    <x v="19"/>
    <x v="3"/>
    <x v="1"/>
    <x v="0"/>
    <x v="2"/>
  </r>
  <r>
    <s v="P203"/>
    <m/>
    <m/>
    <s v="MAHAMUD HUSAIN SHAIKH "/>
    <x v="19"/>
    <x v="0"/>
    <d v="2021-06-18T00:00:00"/>
    <m/>
    <m/>
    <x v="13"/>
    <x v="5"/>
    <m/>
    <m/>
    <m/>
    <m/>
    <x v="4"/>
    <x v="4"/>
    <x v="3"/>
    <x v="4"/>
    <x v="4"/>
    <x v="19"/>
    <x v="4"/>
    <x v="1"/>
    <x v="0"/>
    <x v="2"/>
  </r>
  <r>
    <s v="P204"/>
    <m/>
    <m/>
    <s v="PARMESHWAR RANGNATH PATIL "/>
    <x v="47"/>
    <x v="0"/>
    <d v="2021-06-19T00:00:00"/>
    <m/>
    <m/>
    <x v="13"/>
    <x v="5"/>
    <m/>
    <m/>
    <m/>
    <m/>
    <x v="4"/>
    <x v="4"/>
    <x v="3"/>
    <x v="6"/>
    <x v="3"/>
    <x v="19"/>
    <x v="4"/>
    <x v="1"/>
    <x v="0"/>
    <x v="2"/>
  </r>
  <r>
    <s v="P205"/>
    <m/>
    <m/>
    <s v="VASANT NIVRUTI KOKATE "/>
    <x v="59"/>
    <x v="0"/>
    <d v="2021-06-16T00:00:00"/>
    <m/>
    <m/>
    <x v="31"/>
    <x v="5"/>
    <e v="#NAME?"/>
    <m/>
    <m/>
    <m/>
    <x v="4"/>
    <x v="4"/>
    <x v="3"/>
    <x v="4"/>
    <x v="4"/>
    <x v="19"/>
    <x v="3"/>
    <x v="1"/>
    <x v="0"/>
    <x v="2"/>
  </r>
  <r>
    <s v="P206"/>
    <s v="P184"/>
    <n v="31"/>
    <s v="MRS. JANABAI KHANDU PADMULE"/>
    <x v="36"/>
    <x v="1"/>
    <d v="2021-05-27T00:00:00"/>
    <m/>
    <s v="VI"/>
    <x v="1"/>
    <x v="4"/>
    <s v="&lt;5%"/>
    <s v="&lt;5%"/>
    <s v="&lt;5%"/>
    <s v="&lt;5%"/>
    <x v="4"/>
    <x v="4"/>
    <x v="4"/>
    <x v="4"/>
    <x v="4"/>
    <x v="20"/>
    <x v="0"/>
    <x v="0"/>
    <x v="1"/>
    <x v="2"/>
  </r>
  <r>
    <s v="P207"/>
    <s v="P185"/>
    <n v="88"/>
    <s v="SINDHUBAI ANKUSH KALE"/>
    <x v="7"/>
    <x v="1"/>
    <d v="2021-04-21T00:00:00"/>
    <m/>
    <s v="VI"/>
    <x v="1"/>
    <x v="4"/>
    <s v="&lt;5%"/>
    <s v="&lt;5%"/>
    <s v="&lt;5%"/>
    <s v="&lt;5%"/>
    <x v="4"/>
    <x v="4"/>
    <x v="4"/>
    <x v="4"/>
    <x v="4"/>
    <x v="20"/>
    <x v="0"/>
    <x v="0"/>
    <x v="0"/>
    <x v="2"/>
  </r>
  <r>
    <s v="P208"/>
    <s v="P186"/>
    <n v="124"/>
    <s v="ATUL PANDURANGRAO PAWDE"/>
    <x v="11"/>
    <x v="0"/>
    <d v="2021-11-04T00:00:00"/>
    <m/>
    <s v="V"/>
    <x v="32"/>
    <x v="4"/>
    <s v="&lt;5%"/>
    <s v="&lt;5%"/>
    <s v="&lt;5%"/>
    <s v="&lt;5%"/>
    <x v="4"/>
    <x v="4"/>
    <x v="4"/>
    <x v="4"/>
    <x v="4"/>
    <x v="20"/>
    <x v="9"/>
    <x v="1"/>
    <x v="1"/>
    <x v="2"/>
  </r>
  <r>
    <s v="P209"/>
    <s v="P187"/>
    <n v="126"/>
    <s v="BABASAHEB VITTHALRAO_x000a_SHINDE"/>
    <x v="1"/>
    <x v="0"/>
    <d v="2021-05-09T00:00:00"/>
    <m/>
    <s v="V"/>
    <x v="0"/>
    <x v="4"/>
    <s v="5-25%"/>
    <s v="5-25%"/>
    <n v="0"/>
    <n v="0"/>
    <x v="4"/>
    <x v="3"/>
    <x v="3"/>
    <x v="5"/>
    <x v="5"/>
    <x v="20"/>
    <x v="0"/>
    <x v="0"/>
    <x v="3"/>
    <x v="2"/>
  </r>
  <r>
    <s v="P210"/>
    <s v="P188"/>
    <n v="182"/>
    <s v="NANDA UNMESH KADAM"/>
    <x v="18"/>
    <x v="1"/>
    <d v="2021-04-20T00:00:00"/>
    <m/>
    <s v="V"/>
    <x v="32"/>
    <x v="4"/>
    <s v="&lt;5%"/>
    <s v="&lt;5%"/>
    <s v="&lt;5%"/>
    <s v="&lt;5%"/>
    <x v="4"/>
    <x v="4"/>
    <x v="4"/>
    <x v="4"/>
    <x v="4"/>
    <x v="20"/>
    <x v="10"/>
    <x v="1"/>
    <x v="0"/>
    <x v="2"/>
  </r>
  <r>
    <s v="P211"/>
    <s v="P189"/>
    <n v="202"/>
    <s v="RAMABAI GANPAT NEMADE"/>
    <x v="60"/>
    <x v="1"/>
    <d v="2021-04-29T00:00:00"/>
    <m/>
    <s v="V"/>
    <x v="10"/>
    <x v="4"/>
    <n v="0"/>
    <s v="5-25%"/>
    <n v="0"/>
    <s v="5-25%"/>
    <x v="4"/>
    <x v="5"/>
    <x v="3"/>
    <x v="5"/>
    <x v="3"/>
    <x v="20"/>
    <x v="0"/>
    <x v="1"/>
    <x v="0"/>
    <x v="2"/>
  </r>
  <r>
    <s v="P212"/>
    <s v="P190"/>
    <n v="209"/>
    <s v="SAGUNA SURESH PANDAV"/>
    <x v="9"/>
    <x v="1"/>
    <d v="2021-04-19T00:00:00"/>
    <m/>
    <s v="V"/>
    <x v="32"/>
    <x v="4"/>
    <s v="&lt;5%"/>
    <s v="&lt;5%"/>
    <s v="&lt;5%"/>
    <s v="&lt;5%"/>
    <x v="4"/>
    <x v="4"/>
    <x v="4"/>
    <x v="4"/>
    <x v="4"/>
    <x v="20"/>
    <x v="10"/>
    <x v="1"/>
    <x v="0"/>
    <x v="2"/>
  </r>
  <r>
    <s v="P213"/>
    <m/>
    <m/>
    <s v="GITA DINESH GAVADE "/>
    <x v="27"/>
    <x v="1"/>
    <d v="2021-07-06T00:00:00"/>
    <m/>
    <m/>
    <x v="23"/>
    <x v="5"/>
    <m/>
    <m/>
    <m/>
    <m/>
    <x v="4"/>
    <x v="6"/>
    <x v="4"/>
    <x v="3"/>
    <x v="4"/>
    <x v="20"/>
    <x v="5"/>
    <x v="1"/>
    <x v="0"/>
    <x v="2"/>
  </r>
  <r>
    <s v="P214"/>
    <m/>
    <m/>
    <s v="SACHIN PRABHAKAR MALKARI "/>
    <x v="54"/>
    <x v="0"/>
    <d v="2021-06-15T00:00:00"/>
    <m/>
    <m/>
    <x v="33"/>
    <x v="5"/>
    <m/>
    <m/>
    <m/>
    <m/>
    <x v="4"/>
    <x v="4"/>
    <x v="4"/>
    <x v="4"/>
    <x v="4"/>
    <x v="20"/>
    <x v="5"/>
    <x v="1"/>
    <x v="0"/>
    <x v="2"/>
  </r>
  <r>
    <s v="P215"/>
    <m/>
    <m/>
    <s v="SHITAL AMAR BHUSE "/>
    <x v="61"/>
    <x v="1"/>
    <d v="2021-07-06T00:00:00"/>
    <m/>
    <m/>
    <x v="12"/>
    <x v="5"/>
    <m/>
    <m/>
    <m/>
    <m/>
    <x v="4"/>
    <x v="4"/>
    <x v="4"/>
    <x v="4"/>
    <x v="4"/>
    <x v="20"/>
    <x v="3"/>
    <x v="1"/>
    <x v="0"/>
    <x v="2"/>
  </r>
  <r>
    <s v="P216"/>
    <m/>
    <m/>
    <s v="VANDANA SHIVLING PATIL  "/>
    <x v="51"/>
    <x v="1"/>
    <d v="2021-07-06T00:00:00"/>
    <m/>
    <m/>
    <x v="12"/>
    <x v="5"/>
    <m/>
    <m/>
    <m/>
    <m/>
    <x v="4"/>
    <x v="4"/>
    <x v="4"/>
    <x v="4"/>
    <x v="4"/>
    <x v="20"/>
    <x v="3"/>
    <x v="1"/>
    <x v="0"/>
    <x v="2"/>
  </r>
  <r>
    <s v="P217"/>
    <s v="P191"/>
    <n v="50"/>
    <s v="VIMAL VISHNU MULE"/>
    <x v="34"/>
    <x v="1"/>
    <d v="2021-03-05T00:00:00"/>
    <m/>
    <s v="VI"/>
    <x v="1"/>
    <x v="4"/>
    <n v="0"/>
    <s v="5-25%"/>
    <n v="0"/>
    <s v="&lt;5%"/>
    <x v="4"/>
    <x v="5"/>
    <x v="3"/>
    <x v="5"/>
    <x v="4"/>
    <x v="21"/>
    <x v="0"/>
    <x v="0"/>
    <x v="0"/>
    <x v="2"/>
  </r>
  <r>
    <s v="P218"/>
    <s v="P192"/>
    <n v="83"/>
    <s v="SHEHNAZ BEGUM GULAM_x000a_MOHD ALI PATEL"/>
    <x v="31"/>
    <x v="1"/>
    <d v="2021-07-31T00:00:00"/>
    <s v="breathlessness"/>
    <s v="VI"/>
    <x v="34"/>
    <x v="6"/>
    <n v="0"/>
    <s v="5-25%"/>
    <n v="0"/>
    <s v="5-25%"/>
    <x v="5"/>
    <x v="5"/>
    <x v="3"/>
    <x v="5"/>
    <x v="3"/>
    <x v="21"/>
    <x v="11"/>
    <x v="1"/>
    <x v="1"/>
    <x v="2"/>
  </r>
  <r>
    <s v="P219"/>
    <s v="P193"/>
    <n v="86"/>
    <s v="SHUBHANGI SANDIP AMBHORE"/>
    <x v="4"/>
    <x v="1"/>
    <d v="2021-06-22T00:00:00"/>
    <m/>
    <s v="VI"/>
    <x v="1"/>
    <x v="4"/>
    <n v="0"/>
    <s v="&lt;5%"/>
    <s v="&lt;5%"/>
    <s v="&lt;5%"/>
    <x v="4"/>
    <x v="5"/>
    <x v="4"/>
    <x v="4"/>
    <x v="4"/>
    <x v="21"/>
    <x v="0"/>
    <x v="0"/>
    <x v="0"/>
    <x v="2"/>
  </r>
  <r>
    <s v="P220"/>
    <s v="P194"/>
    <n v="248"/>
    <s v="JANARDHAN SHAMRAO BHISE"/>
    <x v="22"/>
    <x v="0"/>
    <d v="2021-09-16T00:00:00"/>
    <m/>
    <s v="IV"/>
    <x v="25"/>
    <x v="4"/>
    <s v="&lt;5%"/>
    <s v="&lt;5%"/>
    <s v="&lt;5%"/>
    <n v="0"/>
    <x v="4"/>
    <x v="4"/>
    <x v="4"/>
    <x v="4"/>
    <x v="5"/>
    <x v="21"/>
    <x v="0"/>
    <x v="1"/>
    <x v="0"/>
    <x v="2"/>
  </r>
  <r>
    <s v="P221"/>
    <m/>
    <m/>
    <s v="ATUL NAVNATH DEOKATE "/>
    <x v="22"/>
    <x v="0"/>
    <d v="2021-06-19T00:00:00"/>
    <m/>
    <m/>
    <x v="23"/>
    <x v="5"/>
    <m/>
    <m/>
    <m/>
    <m/>
    <x v="6"/>
    <x v="4"/>
    <x v="4"/>
    <x v="4"/>
    <x v="4"/>
    <x v="21"/>
    <x v="5"/>
    <x v="1"/>
    <x v="0"/>
    <x v="2"/>
  </r>
  <r>
    <s v="P222"/>
    <m/>
    <m/>
    <s v="SURESH KATAKGHOND "/>
    <x v="13"/>
    <x v="0"/>
    <d v="2021-11-06T00:00:00"/>
    <m/>
    <m/>
    <x v="12"/>
    <x v="5"/>
    <m/>
    <m/>
    <m/>
    <m/>
    <x v="4"/>
    <x v="6"/>
    <x v="4"/>
    <x v="4"/>
    <x v="4"/>
    <x v="21"/>
    <x v="3"/>
    <x v="1"/>
    <x v="0"/>
    <x v="2"/>
  </r>
  <r>
    <s v="P223"/>
    <s v="P195"/>
    <n v="144"/>
    <s v="DR. SHARANYA MURLIDHARAN"/>
    <x v="27"/>
    <x v="0"/>
    <d v="2021-06-17T00:00:00"/>
    <m/>
    <s v="V"/>
    <x v="35"/>
    <x v="6"/>
    <n v="0"/>
    <s v="&lt;5%"/>
    <s v="&lt;5%"/>
    <s v="&lt;5%"/>
    <x v="5"/>
    <x v="5"/>
    <x v="4"/>
    <x v="4"/>
    <x v="4"/>
    <x v="22"/>
    <x v="12"/>
    <x v="1"/>
    <x v="1"/>
    <x v="2"/>
  </r>
  <r>
    <s v="P224"/>
    <s v="P196"/>
    <n v="179"/>
    <s v="NAJMEEN JAKER ALI SAYYED "/>
    <x v="57"/>
    <x v="1"/>
    <d v="2021-02-25T00:00:00"/>
    <m/>
    <s v="V"/>
    <x v="36"/>
    <x v="4"/>
    <n v="0"/>
    <s v="&lt;5%"/>
    <n v="0"/>
    <s v="&lt;5%"/>
    <x v="4"/>
    <x v="5"/>
    <x v="4"/>
    <x v="5"/>
    <x v="4"/>
    <x v="22"/>
    <x v="13"/>
    <x v="1"/>
    <x v="0"/>
    <x v="2"/>
  </r>
  <r>
    <s v="P225"/>
    <s v="P197"/>
    <n v="200"/>
    <s v="RAJASHRI JOSHI"/>
    <x v="8"/>
    <x v="1"/>
    <d v="2021-04-15T00:00:00"/>
    <m/>
    <s v="V"/>
    <x v="37"/>
    <x v="4"/>
    <n v="0"/>
    <s v="&lt;5%"/>
    <n v="0"/>
    <s v="&lt;5%"/>
    <x v="4"/>
    <x v="5"/>
    <x v="4"/>
    <x v="5"/>
    <x v="4"/>
    <x v="22"/>
    <x v="10"/>
    <x v="1"/>
    <x v="1"/>
    <x v="2"/>
  </r>
  <r>
    <s v="P226"/>
    <m/>
    <m/>
    <s v="PRASHIK DADASAHEB GAIKWAD "/>
    <x v="47"/>
    <x v="0"/>
    <d v="2021-07-06T00:00:00"/>
    <m/>
    <m/>
    <x v="13"/>
    <x v="5"/>
    <m/>
    <m/>
    <m/>
    <m/>
    <x v="4"/>
    <x v="6"/>
    <x v="4"/>
    <x v="6"/>
    <x v="4"/>
    <x v="22"/>
    <x v="4"/>
    <x v="1"/>
    <x v="0"/>
    <x v="2"/>
  </r>
  <r>
    <s v="P227"/>
    <m/>
    <m/>
    <s v="SALIM NIJAMODDIN DESHMUKH "/>
    <x v="20"/>
    <x v="0"/>
    <d v="2021-07-06T00:00:00"/>
    <m/>
    <m/>
    <x v="12"/>
    <x v="5"/>
    <m/>
    <m/>
    <m/>
    <m/>
    <x v="6"/>
    <x v="3"/>
    <x v="5"/>
    <x v="6"/>
    <x v="4"/>
    <x v="22"/>
    <x v="3"/>
    <x v="1"/>
    <x v="0"/>
    <x v="2"/>
  </r>
  <r>
    <s v="P228"/>
    <s v="P198"/>
    <n v="3"/>
    <s v="ABOLEE KAILASH PAITHANKAR"/>
    <x v="24"/>
    <x v="1"/>
    <d v="2021-11-05T00:00:00"/>
    <m/>
    <s v="VI"/>
    <x v="28"/>
    <x v="6"/>
    <n v="0"/>
    <s v="&lt;5%"/>
    <s v="&lt;5%"/>
    <n v="0"/>
    <x v="5"/>
    <x v="5"/>
    <x v="4"/>
    <x v="4"/>
    <x v="5"/>
    <x v="23"/>
    <x v="11"/>
    <x v="1"/>
    <x v="1"/>
    <x v="2"/>
  </r>
  <r>
    <s v="P229"/>
    <s v="P199"/>
    <n v="44"/>
    <s v="LAXMAN DNYANDEO JAYBHAYE"/>
    <x v="7"/>
    <x v="0"/>
    <d v="2021-05-06T00:00:00"/>
    <m/>
    <s v="VI"/>
    <x v="25"/>
    <x v="4"/>
    <n v="0"/>
    <n v="0"/>
    <s v="&lt;5%"/>
    <n v="0"/>
    <x v="4"/>
    <x v="5"/>
    <x v="6"/>
    <x v="4"/>
    <x v="5"/>
    <x v="23"/>
    <x v="14"/>
    <x v="1"/>
    <x v="1"/>
    <x v="2"/>
  </r>
  <r>
    <s v="P230"/>
    <s v="P200"/>
    <n v="49"/>
    <s v="MEENA MANOJ JAISWAL"/>
    <x v="28"/>
    <x v="1"/>
    <d v="2021-05-26T00:00:00"/>
    <m/>
    <s v="VI"/>
    <x v="28"/>
    <x v="6"/>
    <n v="0"/>
    <s v="&lt;5%"/>
    <n v="0"/>
    <s v="&lt;5%"/>
    <x v="5"/>
    <x v="5"/>
    <x v="4"/>
    <x v="5"/>
    <x v="4"/>
    <x v="23"/>
    <x v="11"/>
    <x v="1"/>
    <x v="1"/>
    <x v="2"/>
  </r>
  <r>
    <s v="P231"/>
    <s v="P201"/>
    <n v="63"/>
    <s v="PRASHANT SHANKAR BYAHATTI"/>
    <x v="50"/>
    <x v="0"/>
    <d v="2021-07-12T00:00:00"/>
    <m/>
    <s v="VI"/>
    <x v="28"/>
    <x v="6"/>
    <n v="0"/>
    <s v="&lt;5%"/>
    <n v="0"/>
    <s v="&lt;5%"/>
    <x v="5"/>
    <x v="5"/>
    <x v="4"/>
    <x v="5"/>
    <x v="4"/>
    <x v="23"/>
    <x v="11"/>
    <x v="1"/>
    <x v="0"/>
    <x v="2"/>
  </r>
  <r>
    <s v="P232"/>
    <s v="P202"/>
    <n v="90"/>
    <s v="SPANDAN KETAN_x000a_KALYANKAR"/>
    <x v="62"/>
    <x v="0"/>
    <d v="2021-04-06T00:00:00"/>
    <m/>
    <s v="VI"/>
    <x v="32"/>
    <x v="6"/>
    <n v="0"/>
    <s v="&lt;5%"/>
    <n v="0"/>
    <s v="&lt;5%"/>
    <x v="5"/>
    <x v="5"/>
    <x v="4"/>
    <x v="5"/>
    <x v="4"/>
    <x v="23"/>
    <x v="9"/>
    <x v="1"/>
    <x v="1"/>
    <x v="2"/>
  </r>
  <r>
    <s v="P233"/>
    <s v="P203"/>
    <n v="131"/>
    <s v="BHAGWAN . JADHAV"/>
    <x v="12"/>
    <x v="0"/>
    <d v="2021-12-04T00:00:00"/>
    <m/>
    <s v="V"/>
    <x v="28"/>
    <x v="6"/>
    <s v="&lt;5%"/>
    <s v="&lt;5%"/>
    <n v="0"/>
    <n v="0"/>
    <x v="5"/>
    <x v="4"/>
    <x v="4"/>
    <x v="5"/>
    <x v="5"/>
    <x v="23"/>
    <x v="11"/>
    <x v="1"/>
    <x v="0"/>
    <x v="2"/>
  </r>
  <r>
    <s v="P234"/>
    <s v="P204"/>
    <n v="133"/>
    <s v="BIHARI KUMAR RADHE SINGH "/>
    <x v="63"/>
    <x v="0"/>
    <d v="2021-08-22T00:00:00"/>
    <m/>
    <s v="V"/>
    <x v="38"/>
    <x v="6"/>
    <n v="0"/>
    <n v="0"/>
    <n v="0"/>
    <s v="5-25%"/>
    <x v="5"/>
    <x v="5"/>
    <x v="6"/>
    <x v="5"/>
    <x v="3"/>
    <x v="23"/>
    <x v="9"/>
    <x v="0"/>
    <x v="1"/>
    <x v="2"/>
  </r>
  <r>
    <s v="P235"/>
    <s v="P205"/>
    <n v="149"/>
    <s v="HANUMANDAS RAMNARAYAN_x000a_BAHETI"/>
    <x v="41"/>
    <x v="0"/>
    <d v="2021-04-20T00:00:00"/>
    <m/>
    <s v="V"/>
    <x v="39"/>
    <x v="6"/>
    <n v="0"/>
    <s v="&lt;5%"/>
    <n v="0"/>
    <s v="&lt;5%"/>
    <x v="5"/>
    <x v="5"/>
    <x v="4"/>
    <x v="5"/>
    <x v="4"/>
    <x v="23"/>
    <x v="15"/>
    <x v="1"/>
    <x v="0"/>
    <x v="2"/>
  </r>
  <r>
    <s v="P236"/>
    <s v="P206"/>
    <n v="150"/>
    <s v="HIMMATRAO SANDU DHANWAT"/>
    <x v="33"/>
    <x v="0"/>
    <d v="2021-11-06T00:00:00"/>
    <m/>
    <s v="V"/>
    <x v="28"/>
    <x v="6"/>
    <n v="0"/>
    <s v="5-25%"/>
    <n v="0"/>
    <n v="0"/>
    <x v="5"/>
    <x v="5"/>
    <x v="3"/>
    <x v="5"/>
    <x v="5"/>
    <x v="23"/>
    <x v="8"/>
    <x v="1"/>
    <x v="0"/>
    <x v="2"/>
  </r>
  <r>
    <s v="P237"/>
    <s v="P207"/>
    <n v="155"/>
    <s v="JAYSHREE S THENGADE"/>
    <x v="44"/>
    <x v="1"/>
    <d v="2021-09-14T00:00:00"/>
    <m/>
    <s v="V"/>
    <x v="28"/>
    <x v="6"/>
    <n v="0"/>
    <s v="5-25%"/>
    <n v="0"/>
    <n v="0"/>
    <x v="5"/>
    <x v="5"/>
    <x v="3"/>
    <x v="5"/>
    <x v="5"/>
    <x v="23"/>
    <x v="11"/>
    <x v="1"/>
    <x v="0"/>
    <x v="2"/>
  </r>
  <r>
    <s v="P238"/>
    <s v="P208"/>
    <n v="214"/>
    <s v="SARIKA SHARAD BORADE"/>
    <x v="46"/>
    <x v="1"/>
    <d v="2021-02-02T00:00:00"/>
    <m/>
    <s v="V"/>
    <x v="40"/>
    <x v="6"/>
    <n v="0"/>
    <s v="&lt;5%"/>
    <n v="0"/>
    <s v="&lt;5%"/>
    <x v="5"/>
    <x v="5"/>
    <x v="4"/>
    <x v="5"/>
    <x v="4"/>
    <x v="23"/>
    <x v="16"/>
    <x v="1"/>
    <x v="0"/>
    <x v="2"/>
  </r>
  <r>
    <s v="P239"/>
    <s v="P209"/>
    <n v="252"/>
    <s v="RAOSAHEB JAYAJI GADEKAR"/>
    <x v="6"/>
    <x v="0"/>
    <d v="2021-01-07T00:00:00"/>
    <m/>
    <s v="IV"/>
    <x v="28"/>
    <x v="6"/>
    <n v="0"/>
    <s v="&lt;5%"/>
    <s v="&lt;5%"/>
    <n v="0"/>
    <x v="5"/>
    <x v="5"/>
    <x v="4"/>
    <x v="4"/>
    <x v="5"/>
    <x v="23"/>
    <x v="8"/>
    <x v="1"/>
    <x v="0"/>
    <x v="2"/>
  </r>
  <r>
    <s v="P240"/>
    <s v="P210"/>
    <n v="256"/>
    <s v="YATENDRA PAL DHAN PAL_x000a_SINGH"/>
    <x v="29"/>
    <x v="0"/>
    <d v="2021-06-19T00:00:00"/>
    <m/>
    <s v="IV"/>
    <x v="36"/>
    <x v="4"/>
    <n v="0"/>
    <n v="0"/>
    <s v="&lt;5%"/>
    <n v="0"/>
    <x v="4"/>
    <x v="5"/>
    <x v="6"/>
    <x v="4"/>
    <x v="5"/>
    <x v="23"/>
    <x v="17"/>
    <x v="1"/>
    <x v="0"/>
    <x v="2"/>
  </r>
  <r>
    <s v="P241"/>
    <m/>
    <m/>
    <s v="VIKRANTSINH DADASAHEB GAIKWAD "/>
    <x v="27"/>
    <x v="0"/>
    <d v="2021-07-06T00:00:00"/>
    <m/>
    <m/>
    <x v="41"/>
    <x v="5"/>
    <m/>
    <m/>
    <m/>
    <m/>
    <x v="4"/>
    <x v="6"/>
    <x v="4"/>
    <x v="6"/>
    <x v="6"/>
    <x v="23"/>
    <x v="5"/>
    <x v="1"/>
    <x v="0"/>
    <x v="2"/>
  </r>
  <r>
    <s v="P242"/>
    <s v="P211"/>
    <n v="10"/>
    <s v="BHARTI  JAYBHAYE"/>
    <x v="13"/>
    <x v="1"/>
    <d v="2021-05-06T00:00:00"/>
    <m/>
    <s v="VI"/>
    <x v="42"/>
    <x v="6"/>
    <n v="0"/>
    <s v="&lt;5%"/>
    <n v="0"/>
    <n v="0"/>
    <x v="5"/>
    <x v="5"/>
    <x v="4"/>
    <x v="5"/>
    <x v="5"/>
    <x v="24"/>
    <x v="18"/>
    <x v="1"/>
    <x v="0"/>
    <x v="2"/>
  </r>
  <r>
    <s v="P243"/>
    <s v="P212"/>
    <n v="37"/>
    <s v="KANTILAL RAJARAM ZUNGE"/>
    <x v="18"/>
    <x v="0"/>
    <d v="2021-02-04T00:00:00"/>
    <m/>
    <s v="VI"/>
    <x v="43"/>
    <x v="6"/>
    <n v="0"/>
    <s v="&lt;5%"/>
    <n v="0"/>
    <n v="0"/>
    <x v="5"/>
    <x v="5"/>
    <x v="4"/>
    <x v="5"/>
    <x v="5"/>
    <x v="24"/>
    <x v="19"/>
    <x v="1"/>
    <x v="0"/>
    <x v="2"/>
  </r>
  <r>
    <s v="P244"/>
    <s v="P213"/>
    <n v="41"/>
    <s v="KRUTIKA BHAGWAT BORADE"/>
    <x v="64"/>
    <x v="1"/>
    <d v="2021-06-23T00:00:00"/>
    <m/>
    <s v="VI"/>
    <x v="44"/>
    <x v="4"/>
    <n v="0"/>
    <n v="0"/>
    <n v="0"/>
    <n v="0"/>
    <x v="4"/>
    <x v="5"/>
    <x v="6"/>
    <x v="5"/>
    <x v="5"/>
    <x v="24"/>
    <x v="20"/>
    <x v="1"/>
    <x v="0"/>
    <x v="2"/>
  </r>
  <r>
    <s v="P245"/>
    <s v="P214"/>
    <n v="60"/>
    <s v="VAIBHAV MOHAN PATIL"/>
    <x v="27"/>
    <x v="0"/>
    <d v="2021-12-08T00:00:00"/>
    <m/>
    <s v="VI"/>
    <x v="45"/>
    <x v="6"/>
    <n v="0"/>
    <n v="0"/>
    <n v="0"/>
    <s v="&lt;5%"/>
    <x v="5"/>
    <x v="5"/>
    <x v="6"/>
    <x v="5"/>
    <x v="4"/>
    <x v="24"/>
    <x v="21"/>
    <x v="1"/>
    <x v="0"/>
    <x v="2"/>
  </r>
  <r>
    <s v="P246"/>
    <s v="P215"/>
    <n v="203"/>
    <s v="RAMKAWAR RAMJIVAN_x000a_MUNDADA"/>
    <x v="9"/>
    <x v="1"/>
    <d v="2021-11-04T00:00:00"/>
    <m/>
    <s v="V"/>
    <x v="36"/>
    <x v="6"/>
    <n v="0"/>
    <s v="&lt;5%"/>
    <n v="0"/>
    <n v="0"/>
    <x v="5"/>
    <x v="5"/>
    <x v="4"/>
    <x v="5"/>
    <x v="5"/>
    <x v="24"/>
    <x v="13"/>
    <x v="1"/>
    <x v="0"/>
    <x v="2"/>
  </r>
  <r>
    <s v="P247"/>
    <s v="P216"/>
    <n v="254"/>
    <s v="VAIBHAV RAIBHAN PADEWAR"/>
    <x v="65"/>
    <x v="0"/>
    <d v="2021-06-14T00:00:00"/>
    <m/>
    <s v="IV"/>
    <x v="46"/>
    <x v="6"/>
    <n v="0"/>
    <s v="&lt;5%"/>
    <n v="0"/>
    <n v="0"/>
    <x v="5"/>
    <x v="5"/>
    <x v="4"/>
    <x v="5"/>
    <x v="5"/>
    <x v="24"/>
    <x v="22"/>
    <x v="1"/>
    <x v="0"/>
    <x v="2"/>
  </r>
  <r>
    <s v="P248"/>
    <s v="P217"/>
    <n v="257"/>
    <s v="YOGITA YOGESH GAIKWAD"/>
    <x v="22"/>
    <x v="1"/>
    <d v="2021-06-16T00:00:00"/>
    <m/>
    <s v="IV"/>
    <x v="46"/>
    <x v="6"/>
    <n v="0"/>
    <n v="0"/>
    <n v="0"/>
    <s v="&lt;5%"/>
    <x v="5"/>
    <x v="5"/>
    <x v="6"/>
    <x v="5"/>
    <x v="4"/>
    <x v="24"/>
    <x v="22"/>
    <x v="1"/>
    <x v="0"/>
    <x v="2"/>
  </r>
  <r>
    <s v="P249"/>
    <s v="P218"/>
    <n v="65"/>
    <s v="TULASHIRAM MAHADU PATIL"/>
    <x v="33"/>
    <x v="0"/>
    <d v="2021-05-18T00:00:00"/>
    <m/>
    <s v="VI"/>
    <x v="15"/>
    <x v="5"/>
    <m/>
    <m/>
    <m/>
    <m/>
    <x v="5"/>
    <x v="5"/>
    <x v="6"/>
    <x v="5"/>
    <x v="5"/>
    <x v="25"/>
    <x v="23"/>
    <x v="1"/>
    <x v="0"/>
    <x v="3"/>
  </r>
  <r>
    <s v="P250"/>
    <s v="P219"/>
    <n v="132"/>
    <s v="BHARATBAI SADASHIV_x000a_NIKHATE"/>
    <x v="12"/>
    <x v="1"/>
    <d v="2021-08-06T00:00:00"/>
    <m/>
    <s v="V"/>
    <x v="1"/>
    <x v="5"/>
    <m/>
    <m/>
    <m/>
    <m/>
    <x v="5"/>
    <x v="5"/>
    <x v="6"/>
    <x v="5"/>
    <x v="5"/>
    <x v="25"/>
    <x v="0"/>
    <x v="0"/>
    <x v="0"/>
    <x v="3"/>
  </r>
  <r>
    <s v="P251"/>
    <s v="P220"/>
    <n v="184"/>
    <s v="NATTHU BHIKAJI GAIKWAD"/>
    <x v="21"/>
    <x v="0"/>
    <d v="2021-05-16T00:00:00"/>
    <m/>
    <s v="V"/>
    <x v="15"/>
    <x v="5"/>
    <m/>
    <m/>
    <m/>
    <m/>
    <x v="5"/>
    <x v="5"/>
    <x v="6"/>
    <x v="5"/>
    <x v="5"/>
    <x v="25"/>
    <x v="23"/>
    <x v="1"/>
    <x v="0"/>
    <x v="3"/>
  </r>
  <r>
    <s v="P252"/>
    <s v="P221"/>
    <n v="234"/>
    <s v="VANITA VASANTRAO MUKE"/>
    <x v="9"/>
    <x v="1"/>
    <d v="2021-08-11T00:00:00"/>
    <m/>
    <s v="V"/>
    <x v="24"/>
    <x v="5"/>
    <m/>
    <m/>
    <m/>
    <m/>
    <x v="5"/>
    <x v="5"/>
    <x v="6"/>
    <x v="5"/>
    <x v="5"/>
    <x v="25"/>
    <x v="0"/>
    <x v="1"/>
    <x v="0"/>
    <x v="3"/>
  </r>
  <r>
    <s v="P253"/>
    <s v="P222"/>
    <n v="262"/>
    <s v="ABARAO KONDIBA WAGH"/>
    <x v="34"/>
    <x v="0"/>
    <d v="2021-07-23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4"/>
    <s v="P223"/>
    <n v="263"/>
    <s v="MAYA RAJESH DULGAJ"/>
    <x v="43"/>
    <x v="1"/>
    <d v="2021-05-29T00:00:00"/>
    <m/>
    <s v="fabrosis"/>
    <x v="48"/>
    <x v="5"/>
    <m/>
    <m/>
    <m/>
    <m/>
    <x v="5"/>
    <x v="5"/>
    <x v="6"/>
    <x v="5"/>
    <x v="5"/>
    <x v="25"/>
    <x v="24"/>
    <x v="1"/>
    <x v="1"/>
    <x v="3"/>
  </r>
  <r>
    <s v="P255"/>
    <s v="P224"/>
    <n v="267"/>
    <s v="RAHIM NOOR SHAIKH"/>
    <x v="12"/>
    <x v="0"/>
    <d v="2021-05-15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6"/>
    <s v="P225"/>
    <n v="268"/>
    <s v="RAMESH VITHOBA PALODKAR"/>
    <x v="28"/>
    <x v="0"/>
    <d v="2021-08-26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7"/>
    <s v="P226"/>
    <n v="270"/>
    <s v="RAMRAO GANPATRAO_x000a_MAKNIKAR"/>
    <x v="66"/>
    <x v="0"/>
    <d v="2021-03-06T00:00:00"/>
    <m/>
    <s v="fabrosis"/>
    <x v="47"/>
    <x v="5"/>
    <m/>
    <m/>
    <m/>
    <m/>
    <x v="5"/>
    <x v="5"/>
    <x v="6"/>
    <x v="5"/>
    <x v="5"/>
    <x v="25"/>
    <x v="24"/>
    <x v="1"/>
    <x v="4"/>
    <x v="3"/>
  </r>
  <r>
    <s v="P258"/>
    <s v="P227"/>
    <n v="271"/>
    <s v="RASHIDA BI SANDU SHAIKH"/>
    <x v="9"/>
    <x v="0"/>
    <d v="2021-05-08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9"/>
    <s v="P228"/>
    <n v="272"/>
    <s v="RUKHMANBAI KALUBA_x000a_TALEKAR"/>
    <x v="31"/>
    <x v="1"/>
    <d v="2021-10-11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0"/>
    <s v="P229"/>
    <n v="273"/>
    <s v="SUDHA DINKAR NAPHADE"/>
    <x v="33"/>
    <x v="1"/>
    <d v="2021-02-05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1"/>
    <s v="P230"/>
    <n v="274"/>
    <s v="SUMANBAI MADHUKAR_x000a_TRIBHUVAN"/>
    <x v="12"/>
    <x v="1"/>
    <d v="2021-06-20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2"/>
    <s v="P231"/>
    <n v="275"/>
    <s v="TRIMBAK SANTARAM DONE"/>
    <x v="48"/>
    <x v="0"/>
    <d v="2021-07-10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3"/>
    <s v="P232"/>
    <n v="276"/>
    <s v="UJWALA LAXMANRAO JOSHI"/>
    <x v="6"/>
    <x v="1"/>
    <d v="2021-06-29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4"/>
    <s v="P233"/>
    <n v="277"/>
    <s v="USHABAI DEVIDAS ADHE"/>
    <x v="28"/>
    <x v="1"/>
    <d v="2021-07-06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5"/>
    <s v="P234"/>
    <n v="278"/>
    <s v="UZMA RIZWAN KHAN"/>
    <x v="26"/>
    <x v="1"/>
    <d v="2021-09-23T00:00:00"/>
    <m/>
    <s v="fabrosis"/>
    <x v="49"/>
    <x v="5"/>
    <m/>
    <m/>
    <m/>
    <m/>
    <x v="5"/>
    <x v="5"/>
    <x v="6"/>
    <x v="5"/>
    <x v="5"/>
    <x v="25"/>
    <x v="25"/>
    <x v="1"/>
    <x v="0"/>
    <x v="3"/>
  </r>
  <r>
    <s v="P266"/>
    <s v="P235"/>
    <n v="279"/>
    <s v="YASHODABAI KISAN DOTONDE"/>
    <x v="34"/>
    <x v="1"/>
    <d v="2021-06-24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7"/>
    <s v="P236"/>
    <n v="258"/>
    <s v="AAPPADEV_DOKH_CORADS"/>
    <x v="67"/>
    <x v="0"/>
    <d v="2021-05-26T00:00:00"/>
    <s v="intermediate"/>
    <s v="III"/>
    <x v="11"/>
    <x v="5"/>
    <m/>
    <m/>
    <m/>
    <m/>
    <x v="7"/>
    <x v="7"/>
    <x v="7"/>
    <x v="7"/>
    <x v="7"/>
    <x v="26"/>
    <x v="2"/>
    <x v="1"/>
    <x v="0"/>
    <x v="3"/>
  </r>
  <r>
    <s v="P268"/>
    <m/>
    <m/>
    <s v="ANITA SUJIT KORE "/>
    <x v="17"/>
    <x v="1"/>
    <d v="2021-11-06T00:00:00"/>
    <m/>
    <m/>
    <x v="15"/>
    <x v="5"/>
    <m/>
    <m/>
    <m/>
    <m/>
    <x v="6"/>
    <x v="6"/>
    <x v="5"/>
    <x v="6"/>
    <x v="6"/>
    <x v="25"/>
    <x v="5"/>
    <x v="1"/>
    <x v="0"/>
    <x v="3"/>
  </r>
  <r>
    <s v="P269"/>
    <m/>
    <m/>
    <s v="CHAINSUKH DHANRAJ GOYAL "/>
    <x v="35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0"/>
    <m/>
    <m/>
    <s v="CHANDUBAI TUKARAM CHAVAN "/>
    <x v="18"/>
    <x v="1"/>
    <d v="2021-08-06T00:00:00"/>
    <m/>
    <m/>
    <x v="15"/>
    <x v="5"/>
    <m/>
    <m/>
    <m/>
    <m/>
    <x v="6"/>
    <x v="6"/>
    <x v="5"/>
    <x v="6"/>
    <x v="6"/>
    <x v="25"/>
    <x v="5"/>
    <x v="1"/>
    <x v="0"/>
    <x v="3"/>
  </r>
  <r>
    <s v="P271"/>
    <m/>
    <m/>
    <s v="DR PRAVIN KHATAKE "/>
    <x v="47"/>
    <x v="0"/>
    <d v="2021-06-15T00:00:00"/>
    <m/>
    <m/>
    <x v="15"/>
    <x v="5"/>
    <m/>
    <m/>
    <m/>
    <m/>
    <x v="6"/>
    <x v="6"/>
    <x v="5"/>
    <x v="6"/>
    <x v="6"/>
    <x v="25"/>
    <x v="5"/>
    <x v="1"/>
    <x v="0"/>
    <x v="3"/>
  </r>
  <r>
    <s v="P272"/>
    <m/>
    <m/>
    <s v="DR SANJAY G SANGOLGI "/>
    <x v="13"/>
    <x v="0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3"/>
    <m/>
    <m/>
    <s v="KAVITA R MADHVEL "/>
    <x v="29"/>
    <x v="1"/>
    <d v="2021-08-06T00:00:00"/>
    <m/>
    <m/>
    <x v="15"/>
    <x v="5"/>
    <m/>
    <m/>
    <m/>
    <m/>
    <x v="6"/>
    <x v="6"/>
    <x v="5"/>
    <x v="6"/>
    <x v="6"/>
    <x v="25"/>
    <x v="5"/>
    <x v="1"/>
    <x v="0"/>
    <x v="3"/>
  </r>
  <r>
    <s v="P274"/>
    <m/>
    <m/>
    <s v="MANDAKINI JANARDHAN BHAGAT "/>
    <x v="12"/>
    <x v="1"/>
    <d v="2021-10-06T00:00:00"/>
    <m/>
    <m/>
    <x v="13"/>
    <x v="5"/>
    <m/>
    <m/>
    <m/>
    <m/>
    <x v="6"/>
    <x v="6"/>
    <x v="5"/>
    <x v="6"/>
    <x v="6"/>
    <x v="25"/>
    <x v="4"/>
    <x v="1"/>
    <x v="0"/>
    <x v="3"/>
  </r>
  <r>
    <s v="P275"/>
    <m/>
    <m/>
    <s v="SHABANA SALIM DESHMUKH "/>
    <x v="32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6"/>
    <m/>
    <m/>
    <s v="TAMIJA AB SAMAD SHAIKH "/>
    <x v="58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7"/>
    <m/>
    <m/>
    <s v="NANDA VIJAYSING HAJARE "/>
    <x v="1"/>
    <x v="1"/>
    <d v="2021-09-06T00:00:00"/>
    <m/>
    <m/>
    <x v="50"/>
    <x v="5"/>
    <m/>
    <m/>
    <m/>
    <m/>
    <x v="6"/>
    <x v="6"/>
    <x v="5"/>
    <x v="6"/>
    <x v="6"/>
    <x v="25"/>
    <x v="26"/>
    <x v="1"/>
    <x v="0"/>
    <x v="3"/>
  </r>
  <r>
    <s v="P278"/>
    <m/>
    <m/>
    <s v="NITIN NILKANTH BIJJARGI "/>
    <x v="36"/>
    <x v="0"/>
    <d v="2021-08-06T00:00:00"/>
    <m/>
    <m/>
    <x v="13"/>
    <x v="5"/>
    <m/>
    <m/>
    <m/>
    <m/>
    <x v="7"/>
    <x v="7"/>
    <x v="7"/>
    <x v="7"/>
    <x v="7"/>
    <x v="26"/>
    <x v="4"/>
    <x v="1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0"/>
    <n v="2"/>
  </r>
  <r>
    <x v="1"/>
    <n v="20"/>
    <n v="6"/>
  </r>
  <r>
    <x v="2"/>
    <n v="30"/>
    <n v="27"/>
  </r>
  <r>
    <x v="3"/>
    <n v="40"/>
    <n v="49"/>
  </r>
  <r>
    <x v="4"/>
    <n v="50"/>
    <n v="53"/>
  </r>
  <r>
    <x v="5"/>
    <n v="60"/>
    <n v="60"/>
  </r>
  <r>
    <x v="6"/>
    <n v="70"/>
    <n v="49"/>
  </r>
  <r>
    <x v="7"/>
    <n v="80"/>
    <n v="27"/>
  </r>
  <r>
    <x v="8"/>
    <n v="90"/>
    <n v="5"/>
  </r>
  <r>
    <x v="9"/>
    <n v="100"/>
    <n v="0"/>
  </r>
  <r>
    <x v="1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3"/>
  </r>
  <r>
    <x v="23"/>
  </r>
  <r>
    <x v="24"/>
  </r>
  <r>
    <x v="25"/>
  </r>
  <r>
    <x v="25"/>
  </r>
  <r>
    <x v="25"/>
  </r>
  <r>
    <x v="25"/>
  </r>
  <r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95F7D-426A-485A-84D3-324D8F53FAF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5:C17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requency" fld="2" baseField="0" baseItem="0"/>
  </dataFields>
  <formats count="7">
    <format dxfId="63">
      <pivotArea field="0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collapsedLevelsAreSubtotals="1" fieldPosition="0">
        <references count="1">
          <reference field="0" count="0"/>
        </references>
      </pivotArea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DF2E3-A2BE-4B55-85C6-85B093D4F7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F9" firstHeaderRow="1" firstDataRow="1" firstDataCol="0"/>
  <pivotFields count="25">
    <pivotField showAll="0"/>
    <pivotField showAll="0"/>
    <pivotField showAll="0"/>
    <pivotField showAll="0"/>
    <pivotField dataField="1" showAll="0">
      <items count="69">
        <item x="62"/>
        <item x="56"/>
        <item x="55"/>
        <item x="64"/>
        <item x="65"/>
        <item x="63"/>
        <item x="52"/>
        <item x="57"/>
        <item x="61"/>
        <item x="47"/>
        <item x="26"/>
        <item x="24"/>
        <item x="27"/>
        <item x="44"/>
        <item x="54"/>
        <item x="22"/>
        <item x="45"/>
        <item x="29"/>
        <item x="46"/>
        <item x="4"/>
        <item x="13"/>
        <item x="51"/>
        <item x="50"/>
        <item x="43"/>
        <item x="23"/>
        <item x="11"/>
        <item x="36"/>
        <item x="8"/>
        <item x="2"/>
        <item x="1"/>
        <item x="5"/>
        <item x="28"/>
        <item x="41"/>
        <item x="25"/>
        <item x="7"/>
        <item x="15"/>
        <item x="14"/>
        <item x="18"/>
        <item x="58"/>
        <item x="32"/>
        <item x="17"/>
        <item x="0"/>
        <item x="16"/>
        <item x="42"/>
        <item x="12"/>
        <item x="34"/>
        <item x="20"/>
        <item x="19"/>
        <item x="53"/>
        <item x="31"/>
        <item x="3"/>
        <item x="48"/>
        <item x="21"/>
        <item x="35"/>
        <item x="6"/>
        <item x="38"/>
        <item x="9"/>
        <item x="33"/>
        <item x="37"/>
        <item x="40"/>
        <item x="39"/>
        <item x="10"/>
        <item x="66"/>
        <item x="67"/>
        <item x="30"/>
        <item x="60"/>
        <item x="49"/>
        <item x="5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4" subtotal="average" baseField="0" baseItem="0"/>
  </dataFields>
  <formats count="4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C1D05-84CD-4285-B0D0-8AE4172A0E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9:C12" firstHeaderRow="1" firstDataRow="1" firstDataCol="1"/>
  <pivotFields count="25"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formats count="7">
    <format dxfId="70">
      <pivotArea field="5" type="button" dataOnly="0" labelOnly="1" outline="0" axis="axisRow" fieldPosition="0"/>
    </format>
    <format dxfId="69">
      <pivotArea dataOnly="0" labelOnly="1" outline="0" axis="axisValues" fieldPosition="0"/>
    </format>
    <format dxfId="68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6">
      <pivotArea outline="0" collapsedLevelsAreSubtotals="1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D6D34-312D-4B4A-96FB-91CA26FD9111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C30" firstHeaderRow="1" firstDataRow="1" firstDataCol="1"/>
  <pivotFields count="1">
    <pivotField axis="axisRow"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Total CT Score" fld="0" subtotal="count" baseField="0" baseItem="0"/>
  </dataFields>
  <formats count="8"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  <format dxfId="46">
      <pivotArea dataOnly="0" labelOnly="1" outline="0" axis="axisValues" fieldPosition="0"/>
    </format>
    <format dxfId="45">
      <pivotArea field="0" type="button" dataOnly="0" labelOnly="1" outline="0" axis="axisRow" fieldPosition="0"/>
    </format>
    <format dxfId="44">
      <pivotArea dataOnly="0" labelOnly="1" outline="0" axis="axisValues" fieldPosition="0"/>
    </format>
    <format dxfId="43">
      <pivotArea grandRow="1" outline="0" collapsedLevelsAreSubtotals="1" fieldPosition="0"/>
    </format>
    <format dxfId="42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DE5B-B372-4E9D-A1FF-0D9098AA0DC0}">
  <dimension ref="A1:W301"/>
  <sheetViews>
    <sheetView zoomScaleNormal="100" workbookViewId="0">
      <pane ySplit="1" topLeftCell="A276" activePane="bottomLeft" state="frozen"/>
      <selection pane="bottomLeft" activeCell="AH288" sqref="AH288"/>
    </sheetView>
  </sheetViews>
  <sheetFormatPr defaultRowHeight="14.4" x14ac:dyDescent="0.3"/>
  <cols>
    <col min="2" max="2" width="4.77734375" bestFit="1" customWidth="1"/>
    <col min="4" max="4" width="10.44140625" bestFit="1" customWidth="1"/>
    <col min="5" max="5" width="63.6640625" customWidth="1"/>
    <col min="6" max="6" width="19.109375" customWidth="1"/>
    <col min="7" max="7" width="19.109375" bestFit="1" customWidth="1"/>
    <col min="8" max="8" width="20.44140625" bestFit="1" customWidth="1"/>
    <col min="9" max="9" width="18.88671875" bestFit="1" customWidth="1"/>
    <col min="10" max="10" width="17.88671875" bestFit="1" customWidth="1"/>
    <col min="11" max="11" width="19.109375" bestFit="1" customWidth="1"/>
    <col min="12" max="12" width="20.44140625" bestFit="1" customWidth="1"/>
    <col min="13" max="13" width="18.88671875" bestFit="1" customWidth="1"/>
    <col min="14" max="14" width="17.88671875" bestFit="1" customWidth="1"/>
    <col min="15" max="15" width="17.5546875" bestFit="1" customWidth="1"/>
    <col min="16" max="16" width="17.33203125" bestFit="1" customWidth="1"/>
    <col min="17" max="17" width="10.33203125" bestFit="1" customWidth="1"/>
    <col min="18" max="18" width="19.88671875" customWidth="1"/>
  </cols>
  <sheetData>
    <row r="1" spans="1:18" ht="18.600000000000001" thickBot="1" x14ac:dyDescent="0.4">
      <c r="A1" s="6" t="s">
        <v>347</v>
      </c>
      <c r="B1" s="7" t="s">
        <v>0</v>
      </c>
      <c r="C1" s="8" t="s">
        <v>1</v>
      </c>
      <c r="D1" s="8" t="s">
        <v>2</v>
      </c>
      <c r="E1" s="7" t="s">
        <v>346</v>
      </c>
      <c r="F1" s="8" t="s">
        <v>3</v>
      </c>
      <c r="G1" s="7" t="s">
        <v>4</v>
      </c>
      <c r="H1" s="8" t="s">
        <v>5</v>
      </c>
      <c r="I1" s="8" t="s">
        <v>6</v>
      </c>
      <c r="J1" s="8" t="s">
        <v>7</v>
      </c>
      <c r="K1" s="8" t="s">
        <v>3</v>
      </c>
      <c r="L1" s="7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334</v>
      </c>
      <c r="R1" s="5" t="s">
        <v>374</v>
      </c>
    </row>
    <row r="2" spans="1:18" x14ac:dyDescent="0.3">
      <c r="A2" s="3" t="s">
        <v>9</v>
      </c>
      <c r="B2">
        <v>57</v>
      </c>
      <c r="C2" t="s">
        <v>10</v>
      </c>
      <c r="D2" s="1">
        <v>44377</v>
      </c>
      <c r="E2" t="s">
        <v>11</v>
      </c>
      <c r="F2" s="9" t="str">
        <f t="shared" ref="F2:J52" si="0">IF(K2=0,"0%",IF(K2=1,"&lt;5%",IF(K2=2,"5-25%",IF(K2=3,"26-49%",IF(K2=4,"50-75%",IF(K2=5,"&gt;75%"))))))</f>
        <v>&gt;75%</v>
      </c>
      <c r="G2" s="9" t="str">
        <f t="shared" si="0"/>
        <v>&gt;75%</v>
      </c>
      <c r="H2" s="9" t="str">
        <f t="shared" si="0"/>
        <v>&gt;75%</v>
      </c>
      <c r="I2" s="9" t="str">
        <f t="shared" si="0"/>
        <v>&gt;75%</v>
      </c>
      <c r="J2" s="9" t="str">
        <f t="shared" si="0"/>
        <v>&gt;75%</v>
      </c>
      <c r="K2">
        <v>5</v>
      </c>
      <c r="L2">
        <v>5</v>
      </c>
      <c r="M2">
        <v>5</v>
      </c>
      <c r="N2">
        <v>5</v>
      </c>
      <c r="O2">
        <v>5</v>
      </c>
      <c r="P2">
        <v>25</v>
      </c>
      <c r="Q2" t="str">
        <f>IF(P2=0,"normal",IF(AND(P2&gt;=1,P2&lt;=8),"mild",IF(AND(P2&gt;=9,P2&lt;=15),"moderate",IF(P2&gt;15,"severe",""))))</f>
        <v>severe</v>
      </c>
      <c r="R2">
        <v>1321</v>
      </c>
    </row>
    <row r="3" spans="1:18" x14ac:dyDescent="0.3">
      <c r="A3" s="3" t="s">
        <v>13</v>
      </c>
      <c r="B3">
        <v>45</v>
      </c>
      <c r="C3" t="s">
        <v>14</v>
      </c>
      <c r="D3" s="1">
        <v>44341</v>
      </c>
      <c r="E3" t="s">
        <v>15</v>
      </c>
      <c r="F3" s="9" t="str">
        <f t="shared" si="0"/>
        <v>&gt;75%</v>
      </c>
      <c r="G3" s="9" t="str">
        <f t="shared" si="0"/>
        <v>&gt;75%</v>
      </c>
      <c r="H3" s="9" t="str">
        <f t="shared" si="0"/>
        <v>&gt;75%</v>
      </c>
      <c r="I3" s="9" t="str">
        <f t="shared" si="0"/>
        <v>&gt;75%</v>
      </c>
      <c r="J3" s="9" t="str">
        <f t="shared" si="0"/>
        <v>&gt;75%</v>
      </c>
      <c r="K3">
        <v>5</v>
      </c>
      <c r="L3">
        <v>5</v>
      </c>
      <c r="M3">
        <v>5</v>
      </c>
      <c r="N3">
        <v>5</v>
      </c>
      <c r="O3">
        <v>5</v>
      </c>
      <c r="P3">
        <v>25</v>
      </c>
      <c r="Q3" t="str">
        <f>IF(P3=0,"normal",IF(AND(P3&gt;=1,P3&lt;=8),"mild",IF(AND(P3&gt;=9,P3&lt;=15),"moderate",IF(P3&gt;15,"severe",""))))</f>
        <v>severe</v>
      </c>
      <c r="R3">
        <v>332</v>
      </c>
    </row>
    <row r="4" spans="1:18" x14ac:dyDescent="0.3">
      <c r="A4" s="3" t="s">
        <v>16</v>
      </c>
      <c r="B4">
        <v>43</v>
      </c>
      <c r="C4" t="s">
        <v>14</v>
      </c>
      <c r="D4" s="1">
        <v>44476</v>
      </c>
      <c r="E4" t="s">
        <v>17</v>
      </c>
      <c r="F4" s="9" t="str">
        <f t="shared" si="0"/>
        <v>&gt;75%</v>
      </c>
      <c r="G4" s="9" t="str">
        <f t="shared" si="0"/>
        <v>&gt;75%</v>
      </c>
      <c r="H4" s="9" t="str">
        <f t="shared" si="0"/>
        <v>&gt;75%</v>
      </c>
      <c r="I4" s="9" t="str">
        <f t="shared" si="0"/>
        <v>&gt;75%</v>
      </c>
      <c r="J4" s="9" t="str">
        <f t="shared" si="0"/>
        <v>&gt;75%</v>
      </c>
      <c r="K4">
        <v>5</v>
      </c>
      <c r="L4">
        <v>5</v>
      </c>
      <c r="M4">
        <v>5</v>
      </c>
      <c r="N4">
        <v>5</v>
      </c>
      <c r="O4">
        <v>5</v>
      </c>
      <c r="P4">
        <v>25</v>
      </c>
      <c r="Q4" t="str">
        <f>IF(P4=0,"normal",IF(AND(P4&gt;=1,P4&lt;=8),"mild",IF(AND(P4&gt;=9,P4&lt;=15),"moderate",IF(P4&gt;15,"severe",""))))</f>
        <v>severe</v>
      </c>
      <c r="R4">
        <v>1261</v>
      </c>
    </row>
    <row r="5" spans="1:18" x14ac:dyDescent="0.3">
      <c r="A5" s="3" t="s">
        <v>18</v>
      </c>
      <c r="B5">
        <v>45</v>
      </c>
      <c r="C5" t="s">
        <v>14</v>
      </c>
      <c r="D5" s="1">
        <v>44292</v>
      </c>
      <c r="E5" t="s">
        <v>19</v>
      </c>
      <c r="F5" s="9" t="str">
        <f t="shared" si="0"/>
        <v>&gt;75%</v>
      </c>
      <c r="G5" s="9" t="str">
        <f t="shared" si="0"/>
        <v>&gt;75%</v>
      </c>
      <c r="H5" s="9" t="str">
        <f t="shared" si="0"/>
        <v>&gt;75%</v>
      </c>
      <c r="I5" s="9" t="str">
        <f t="shared" si="0"/>
        <v>&gt;75%</v>
      </c>
      <c r="J5" s="9" t="str">
        <f t="shared" si="0"/>
        <v>&gt;75%</v>
      </c>
      <c r="K5">
        <v>5</v>
      </c>
      <c r="L5">
        <v>5</v>
      </c>
      <c r="M5">
        <v>5</v>
      </c>
      <c r="N5">
        <v>5</v>
      </c>
      <c r="O5">
        <v>5</v>
      </c>
      <c r="P5">
        <v>25</v>
      </c>
      <c r="Q5" t="str">
        <f>IF(P5=0,"normal",IF(AND(P5&gt;=1,P5&lt;=8),"mild",IF(AND(P5&gt;=9,P5&lt;=15),"moderate",IF(P5&gt;15,"severe",""))))</f>
        <v>severe</v>
      </c>
      <c r="R5">
        <v>1141</v>
      </c>
    </row>
    <row r="6" spans="1:18" x14ac:dyDescent="0.3">
      <c r="A6" s="3" t="s">
        <v>21</v>
      </c>
      <c r="B6">
        <v>66</v>
      </c>
      <c r="C6" t="s">
        <v>14</v>
      </c>
      <c r="D6" s="1">
        <v>44445</v>
      </c>
      <c r="E6" t="s">
        <v>22</v>
      </c>
      <c r="F6" s="9" t="str">
        <f t="shared" si="0"/>
        <v>&gt;75%</v>
      </c>
      <c r="G6" s="9" t="str">
        <f t="shared" si="0"/>
        <v>&gt;75%</v>
      </c>
      <c r="H6" s="9" t="str">
        <f t="shared" si="0"/>
        <v>&gt;75%</v>
      </c>
      <c r="I6" s="9" t="str">
        <f t="shared" si="0"/>
        <v>&gt;75%</v>
      </c>
      <c r="J6" s="9" t="str">
        <f t="shared" si="0"/>
        <v>&gt;75%</v>
      </c>
      <c r="K6">
        <v>5</v>
      </c>
      <c r="L6">
        <v>5</v>
      </c>
      <c r="M6">
        <v>5</v>
      </c>
      <c r="N6">
        <v>5</v>
      </c>
      <c r="O6">
        <v>5</v>
      </c>
      <c r="P6">
        <v>25</v>
      </c>
      <c r="Q6" t="str">
        <f>IF(P6=0,"normal",IF(AND(P6&gt;=1,P6&lt;=8),"mild",IF(AND(P6&gt;=9,P6&lt;=15),"moderate",IF(P6&gt;15,"severe",""))))</f>
        <v>severe</v>
      </c>
      <c r="R6">
        <v>1101</v>
      </c>
    </row>
    <row r="7" spans="1:18" x14ac:dyDescent="0.3">
      <c r="A7" s="3" t="s">
        <v>23</v>
      </c>
      <c r="B7">
        <v>34</v>
      </c>
      <c r="C7" t="s">
        <v>10</v>
      </c>
      <c r="D7" s="1">
        <v>44394</v>
      </c>
      <c r="E7" t="s">
        <v>22</v>
      </c>
      <c r="F7" s="9" t="str">
        <f t="shared" si="0"/>
        <v>&gt;75%</v>
      </c>
      <c r="G7" s="9" t="str">
        <f t="shared" si="0"/>
        <v>50-75%</v>
      </c>
      <c r="H7" s="9" t="str">
        <f t="shared" si="0"/>
        <v>&gt;75%</v>
      </c>
      <c r="I7" s="9" t="str">
        <f t="shared" si="0"/>
        <v>&gt;75%</v>
      </c>
      <c r="J7" s="9" t="str">
        <f t="shared" si="0"/>
        <v>&gt;75%</v>
      </c>
      <c r="K7">
        <v>5</v>
      </c>
      <c r="L7">
        <v>4</v>
      </c>
      <c r="M7">
        <v>5</v>
      </c>
      <c r="N7">
        <v>5</v>
      </c>
      <c r="O7">
        <v>5</v>
      </c>
      <c r="P7">
        <v>24</v>
      </c>
      <c r="Q7" t="str">
        <f>IF(P7=0,"normal",IF(AND(P7&gt;=1,P7&lt;=8),"mild",IF(AND(P7&gt;=9,P7&lt;=15),"moderate",IF(P7&gt;15,"severe",""))))</f>
        <v>severe</v>
      </c>
      <c r="R7">
        <v>1141</v>
      </c>
    </row>
    <row r="8" spans="1:18" x14ac:dyDescent="0.3">
      <c r="A8" s="3" t="s">
        <v>25</v>
      </c>
      <c r="B8">
        <v>46</v>
      </c>
      <c r="C8" t="s">
        <v>10</v>
      </c>
      <c r="D8" s="1">
        <v>44505</v>
      </c>
      <c r="E8" t="s">
        <v>22</v>
      </c>
      <c r="F8" s="9" t="str">
        <f t="shared" si="0"/>
        <v>&gt;75%</v>
      </c>
      <c r="G8" s="9" t="str">
        <f t="shared" si="0"/>
        <v>&gt;75%</v>
      </c>
      <c r="H8" s="9" t="str">
        <f t="shared" si="0"/>
        <v>&gt;75%</v>
      </c>
      <c r="I8" s="9" t="str">
        <f t="shared" si="0"/>
        <v>50-75%</v>
      </c>
      <c r="J8" s="9" t="str">
        <f t="shared" si="0"/>
        <v>50-75%</v>
      </c>
      <c r="K8">
        <v>5</v>
      </c>
      <c r="L8">
        <v>5</v>
      </c>
      <c r="M8">
        <v>5</v>
      </c>
      <c r="N8">
        <v>4</v>
      </c>
      <c r="O8">
        <v>4</v>
      </c>
      <c r="P8">
        <v>23</v>
      </c>
      <c r="Q8" t="str">
        <f>IF(P8=0,"normal",IF(AND(P8&gt;=1,P8&lt;=8),"mild",IF(AND(P8&gt;=9,P8&lt;=15),"moderate",IF(P8&gt;15,"severe",""))))</f>
        <v>severe</v>
      </c>
      <c r="R8">
        <v>376</v>
      </c>
    </row>
    <row r="9" spans="1:18" x14ac:dyDescent="0.3">
      <c r="A9" s="3" t="s">
        <v>26</v>
      </c>
      <c r="B9">
        <v>70</v>
      </c>
      <c r="C9" t="s">
        <v>10</v>
      </c>
      <c r="D9" s="1">
        <v>44363</v>
      </c>
      <c r="E9" t="s">
        <v>15</v>
      </c>
      <c r="F9" s="9" t="str">
        <f t="shared" si="0"/>
        <v>50-75%</v>
      </c>
      <c r="G9" s="9" t="str">
        <f t="shared" si="0"/>
        <v>&gt;75%</v>
      </c>
      <c r="H9" s="9" t="str">
        <f t="shared" si="0"/>
        <v>&gt;75%</v>
      </c>
      <c r="I9" s="9" t="str">
        <f t="shared" si="0"/>
        <v>50-75%</v>
      </c>
      <c r="J9" s="9" t="str">
        <f t="shared" si="0"/>
        <v>&gt;75%</v>
      </c>
      <c r="K9">
        <v>4</v>
      </c>
      <c r="L9">
        <v>5</v>
      </c>
      <c r="M9">
        <v>5</v>
      </c>
      <c r="N9">
        <v>4</v>
      </c>
      <c r="O9">
        <v>5</v>
      </c>
      <c r="P9">
        <v>23</v>
      </c>
      <c r="Q9" t="str">
        <f>IF(P9=0,"normal",IF(AND(P9&gt;=1,P9&lt;=8),"mild",IF(AND(P9&gt;=9,P9&lt;=15),"moderate",IF(P9&gt;15,"severe",""))))</f>
        <v>severe</v>
      </c>
      <c r="R9">
        <v>1101</v>
      </c>
    </row>
    <row r="10" spans="1:18" x14ac:dyDescent="0.3">
      <c r="A10" s="3" t="s">
        <v>27</v>
      </c>
      <c r="B10">
        <v>50</v>
      </c>
      <c r="C10" t="s">
        <v>14</v>
      </c>
      <c r="D10" s="1">
        <v>44344</v>
      </c>
      <c r="E10" t="s">
        <v>15</v>
      </c>
      <c r="F10" s="9" t="str">
        <f t="shared" si="0"/>
        <v>&gt;75%</v>
      </c>
      <c r="G10" s="9" t="str">
        <f t="shared" si="0"/>
        <v>&gt;75%</v>
      </c>
      <c r="H10" s="9" t="str">
        <f t="shared" si="0"/>
        <v>&gt;75%</v>
      </c>
      <c r="I10" s="9" t="str">
        <f t="shared" si="0"/>
        <v>26-49%</v>
      </c>
      <c r="J10" s="9" t="str">
        <f t="shared" si="0"/>
        <v>50-75%</v>
      </c>
      <c r="K10">
        <v>5</v>
      </c>
      <c r="L10">
        <v>5</v>
      </c>
      <c r="M10">
        <v>5</v>
      </c>
      <c r="N10">
        <v>3</v>
      </c>
      <c r="O10">
        <v>4</v>
      </c>
      <c r="P10">
        <v>22</v>
      </c>
      <c r="Q10" t="str">
        <f>IF(P10=0,"normal",IF(AND(P10&gt;=1,P10&lt;=8),"mild",IF(AND(P10&gt;=9,P10&lt;=15),"moderate",IF(P10&gt;15,"severe",""))))</f>
        <v>severe</v>
      </c>
      <c r="R10">
        <v>1241</v>
      </c>
    </row>
    <row r="11" spans="1:18" x14ac:dyDescent="0.3">
      <c r="A11" s="3" t="s">
        <v>29</v>
      </c>
      <c r="B11">
        <v>42</v>
      </c>
      <c r="C11" t="s">
        <v>10</v>
      </c>
      <c r="D11" s="1">
        <v>44202</v>
      </c>
      <c r="E11" t="s">
        <v>22</v>
      </c>
      <c r="F11" s="9" t="str">
        <f t="shared" si="0"/>
        <v>50-75%</v>
      </c>
      <c r="G11" s="9" t="str">
        <f t="shared" si="0"/>
        <v>50-75%</v>
      </c>
      <c r="H11" s="9" t="str">
        <f t="shared" si="0"/>
        <v>&gt;75%</v>
      </c>
      <c r="I11" s="9" t="str">
        <f t="shared" si="0"/>
        <v>50-75%</v>
      </c>
      <c r="J11" s="9" t="str">
        <f t="shared" si="0"/>
        <v>&gt;75%</v>
      </c>
      <c r="K11">
        <v>4</v>
      </c>
      <c r="L11">
        <v>4</v>
      </c>
      <c r="M11">
        <v>5</v>
      </c>
      <c r="N11">
        <v>4</v>
      </c>
      <c r="O11">
        <v>5</v>
      </c>
      <c r="P11">
        <v>22</v>
      </c>
      <c r="Q11" t="str">
        <f>IF(P11=0,"normal",IF(AND(P11&gt;=1,P11&lt;=8),"mild",IF(AND(P11&gt;=9,P11&lt;=15),"moderate",IF(P11&gt;15,"severe",""))))</f>
        <v>severe</v>
      </c>
      <c r="R11">
        <v>1421</v>
      </c>
    </row>
    <row r="12" spans="1:18" x14ac:dyDescent="0.3">
      <c r="A12" s="3" t="s">
        <v>30</v>
      </c>
      <c r="B12">
        <v>72</v>
      </c>
      <c r="C12" t="s">
        <v>10</v>
      </c>
      <c r="D12" s="1">
        <v>44469</v>
      </c>
      <c r="E12" t="s">
        <v>15</v>
      </c>
      <c r="F12" s="9" t="str">
        <f t="shared" si="0"/>
        <v>&gt;75%</v>
      </c>
      <c r="G12" s="9" t="str">
        <f t="shared" si="0"/>
        <v>&gt;75%</v>
      </c>
      <c r="H12" s="9" t="str">
        <f t="shared" si="0"/>
        <v>&gt;75%</v>
      </c>
      <c r="I12" s="9" t="str">
        <f t="shared" si="0"/>
        <v>26-49%</v>
      </c>
      <c r="J12" s="9" t="str">
        <f t="shared" si="0"/>
        <v>50-75%</v>
      </c>
      <c r="K12">
        <v>5</v>
      </c>
      <c r="L12">
        <v>5</v>
      </c>
      <c r="M12">
        <v>5</v>
      </c>
      <c r="N12">
        <v>3</v>
      </c>
      <c r="O12">
        <v>4</v>
      </c>
      <c r="P12">
        <v>22</v>
      </c>
      <c r="Q12" t="str">
        <f>IF(P12=0,"normal",IF(AND(P12&gt;=1,P12&lt;=8),"mild",IF(AND(P12&gt;=9,P12&lt;=15),"moderate",IF(P12&gt;15,"severe",""))))</f>
        <v>severe</v>
      </c>
      <c r="R12">
        <v>1121</v>
      </c>
    </row>
    <row r="13" spans="1:18" x14ac:dyDescent="0.3">
      <c r="A13" s="3" t="s">
        <v>31</v>
      </c>
      <c r="B13">
        <v>45</v>
      </c>
      <c r="C13" t="s">
        <v>14</v>
      </c>
      <c r="D13" s="1">
        <v>44232</v>
      </c>
      <c r="E13" t="s">
        <v>22</v>
      </c>
      <c r="F13" s="9" t="str">
        <f t="shared" si="0"/>
        <v>50-75%</v>
      </c>
      <c r="G13" s="9" t="str">
        <f t="shared" si="0"/>
        <v>&gt;75%</v>
      </c>
      <c r="H13" s="9" t="str">
        <f t="shared" si="0"/>
        <v>50-75%</v>
      </c>
      <c r="I13" s="9" t="str">
        <f t="shared" si="0"/>
        <v>50-75%</v>
      </c>
      <c r="J13" s="9" t="str">
        <f t="shared" si="0"/>
        <v>&gt;75%</v>
      </c>
      <c r="K13">
        <v>4</v>
      </c>
      <c r="L13">
        <v>5</v>
      </c>
      <c r="M13">
        <v>4</v>
      </c>
      <c r="N13">
        <v>4</v>
      </c>
      <c r="O13">
        <v>5</v>
      </c>
      <c r="P13">
        <v>22</v>
      </c>
      <c r="Q13" t="str">
        <f>IF(P13=0,"normal",IF(AND(P13&gt;=1,P13&lt;=8),"mild",IF(AND(P13&gt;=9,P13&lt;=15),"moderate",IF(P13&gt;15,"severe",""))))</f>
        <v>severe</v>
      </c>
      <c r="R13">
        <v>1101</v>
      </c>
    </row>
    <row r="14" spans="1:18" x14ac:dyDescent="0.3">
      <c r="A14" s="3" t="s">
        <v>32</v>
      </c>
      <c r="B14">
        <v>78</v>
      </c>
      <c r="C14" t="s">
        <v>14</v>
      </c>
      <c r="D14" s="1">
        <v>44233</v>
      </c>
      <c r="E14" t="s">
        <v>33</v>
      </c>
      <c r="F14" s="9" t="str">
        <f t="shared" si="0"/>
        <v>&gt;75%</v>
      </c>
      <c r="G14" s="9" t="str">
        <f t="shared" si="0"/>
        <v>50-75%</v>
      </c>
      <c r="H14" s="9" t="str">
        <f t="shared" si="0"/>
        <v>&gt;75%</v>
      </c>
      <c r="I14" s="9" t="str">
        <f t="shared" si="0"/>
        <v>50-75%</v>
      </c>
      <c r="J14" s="9" t="str">
        <f t="shared" si="0"/>
        <v>50-75%</v>
      </c>
      <c r="K14">
        <v>5</v>
      </c>
      <c r="L14">
        <v>4</v>
      </c>
      <c r="M14">
        <v>5</v>
      </c>
      <c r="N14">
        <v>4</v>
      </c>
      <c r="O14">
        <v>4</v>
      </c>
      <c r="P14">
        <v>22</v>
      </c>
      <c r="Q14" t="str">
        <f>IF(P14=0,"normal",IF(AND(P14&gt;=1,P14&lt;=8),"mild",IF(AND(P14&gt;=9,P14&lt;=15),"moderate",IF(P14&gt;15,"severe",""))))</f>
        <v>severe</v>
      </c>
      <c r="R14">
        <v>961</v>
      </c>
    </row>
    <row r="15" spans="1:18" x14ac:dyDescent="0.3">
      <c r="A15" s="3" t="s">
        <v>34</v>
      </c>
      <c r="B15">
        <v>45</v>
      </c>
      <c r="C15" t="s">
        <v>10</v>
      </c>
      <c r="D15" s="1">
        <v>44363</v>
      </c>
      <c r="E15" t="s">
        <v>11</v>
      </c>
      <c r="F15" s="9" t="str">
        <f t="shared" si="0"/>
        <v>50-75%</v>
      </c>
      <c r="G15" s="9" t="str">
        <f t="shared" si="0"/>
        <v>50-75%</v>
      </c>
      <c r="H15" s="9" t="str">
        <f t="shared" si="0"/>
        <v>&gt;75%</v>
      </c>
      <c r="I15" s="9" t="str">
        <f t="shared" si="0"/>
        <v>26-49%</v>
      </c>
      <c r="J15" s="9" t="str">
        <f t="shared" si="0"/>
        <v>&gt;75%</v>
      </c>
      <c r="K15">
        <v>4</v>
      </c>
      <c r="L15">
        <v>4</v>
      </c>
      <c r="M15">
        <v>5</v>
      </c>
      <c r="N15">
        <v>3</v>
      </c>
      <c r="O15">
        <v>5</v>
      </c>
      <c r="P15">
        <v>21</v>
      </c>
      <c r="Q15" t="str">
        <f>IF(P15=0,"normal",IF(AND(P15&gt;=1,P15&lt;=8),"mild",IF(AND(P15&gt;=9,P15&lt;=15),"moderate",IF(P15&gt;15,"severe",""))))</f>
        <v>severe</v>
      </c>
      <c r="R15">
        <v>1341</v>
      </c>
    </row>
    <row r="16" spans="1:18" x14ac:dyDescent="0.3">
      <c r="A16" s="3" t="s">
        <v>35</v>
      </c>
      <c r="B16">
        <v>40</v>
      </c>
      <c r="C16" t="s">
        <v>10</v>
      </c>
      <c r="D16" s="1">
        <v>44347</v>
      </c>
      <c r="E16" t="s">
        <v>36</v>
      </c>
      <c r="F16" s="9" t="str">
        <f t="shared" si="0"/>
        <v>&gt;75%</v>
      </c>
      <c r="G16" s="9" t="str">
        <f t="shared" si="0"/>
        <v>50-75%</v>
      </c>
      <c r="H16" s="9" t="str">
        <f t="shared" si="0"/>
        <v>50-75%</v>
      </c>
      <c r="I16" s="9" t="str">
        <f t="shared" si="0"/>
        <v>50-75%</v>
      </c>
      <c r="J16" s="9" t="str">
        <f t="shared" si="0"/>
        <v>50-75%</v>
      </c>
      <c r="K16">
        <v>5</v>
      </c>
      <c r="L16">
        <v>4</v>
      </c>
      <c r="M16">
        <v>4</v>
      </c>
      <c r="N16">
        <v>4</v>
      </c>
      <c r="O16">
        <v>4</v>
      </c>
      <c r="P16">
        <v>21</v>
      </c>
      <c r="Q16" t="str">
        <f>IF(P16=0,"normal",IF(AND(P16&gt;=1,P16&lt;=8),"mild",IF(AND(P16&gt;=9,P16&lt;=15),"moderate",IF(P16&gt;15,"severe",""))))</f>
        <v>severe</v>
      </c>
      <c r="R16">
        <v>1181</v>
      </c>
    </row>
    <row r="17" spans="1:18" x14ac:dyDescent="0.3">
      <c r="A17" s="3" t="s">
        <v>37</v>
      </c>
      <c r="B17">
        <v>60</v>
      </c>
      <c r="C17" t="s">
        <v>14</v>
      </c>
      <c r="D17" s="1">
        <v>44340</v>
      </c>
      <c r="E17" t="s">
        <v>15</v>
      </c>
      <c r="F17" s="9" t="str">
        <f t="shared" si="0"/>
        <v>50-75%</v>
      </c>
      <c r="G17" s="9" t="str">
        <f t="shared" si="0"/>
        <v>26-49%</v>
      </c>
      <c r="H17" s="9" t="str">
        <f t="shared" si="0"/>
        <v>&gt;75%</v>
      </c>
      <c r="I17" s="9" t="str">
        <f t="shared" si="0"/>
        <v>50-75%</v>
      </c>
      <c r="J17" s="9" t="str">
        <f t="shared" si="0"/>
        <v>&gt;75%</v>
      </c>
      <c r="K17">
        <v>4</v>
      </c>
      <c r="L17">
        <v>3</v>
      </c>
      <c r="M17">
        <v>5</v>
      </c>
      <c r="N17">
        <v>4</v>
      </c>
      <c r="O17">
        <v>5</v>
      </c>
      <c r="P17">
        <v>21</v>
      </c>
      <c r="Q17" t="str">
        <f>IF(P17=0,"normal",IF(AND(P17&gt;=1,P17&lt;=8),"mild",IF(AND(P17&gt;=9,P17&lt;=15),"moderate",IF(P17&gt;15,"severe",""))))</f>
        <v>severe</v>
      </c>
      <c r="R17">
        <v>1181</v>
      </c>
    </row>
    <row r="18" spans="1:18" x14ac:dyDescent="0.3">
      <c r="A18" s="3" t="s">
        <v>38</v>
      </c>
      <c r="B18">
        <v>72</v>
      </c>
      <c r="C18" t="s">
        <v>14</v>
      </c>
      <c r="D18" s="1">
        <v>44202</v>
      </c>
      <c r="E18" t="s">
        <v>22</v>
      </c>
      <c r="F18" s="9" t="str">
        <f t="shared" si="0"/>
        <v>50-75%</v>
      </c>
      <c r="G18" s="9" t="str">
        <f t="shared" si="0"/>
        <v>&gt;75%</v>
      </c>
      <c r="H18" s="9" t="str">
        <f t="shared" si="0"/>
        <v>50-75%</v>
      </c>
      <c r="I18" s="9" t="str">
        <f t="shared" si="0"/>
        <v>26-49%</v>
      </c>
      <c r="J18" s="9" t="str">
        <f t="shared" si="0"/>
        <v>&gt;75%</v>
      </c>
      <c r="K18">
        <v>4</v>
      </c>
      <c r="L18">
        <v>5</v>
      </c>
      <c r="M18">
        <v>4</v>
      </c>
      <c r="N18">
        <v>3</v>
      </c>
      <c r="O18">
        <v>5</v>
      </c>
      <c r="P18">
        <v>21</v>
      </c>
      <c r="Q18" t="str">
        <f>IF(P18=0,"normal",IF(AND(P18&gt;=1,P18&lt;=8),"mild",IF(AND(P18&gt;=9,P18&lt;=15),"moderate",IF(P18&gt;15,"severe",""))))</f>
        <v>severe</v>
      </c>
      <c r="R18">
        <v>981</v>
      </c>
    </row>
    <row r="19" spans="1:18" x14ac:dyDescent="0.3">
      <c r="A19" s="3" t="s">
        <v>39</v>
      </c>
      <c r="B19">
        <v>35</v>
      </c>
      <c r="C19" t="s">
        <v>10</v>
      </c>
      <c r="D19" s="1">
        <v>44370</v>
      </c>
      <c r="E19" t="s">
        <v>15</v>
      </c>
      <c r="F19" s="9" t="str">
        <f t="shared" si="0"/>
        <v>50-75%</v>
      </c>
      <c r="G19" s="9" t="str">
        <f t="shared" si="0"/>
        <v>&gt;75%</v>
      </c>
      <c r="H19" s="9" t="str">
        <f t="shared" si="0"/>
        <v>26-49%</v>
      </c>
      <c r="I19" s="9" t="str">
        <f t="shared" si="0"/>
        <v>50-75%</v>
      </c>
      <c r="J19" s="9" t="str">
        <f t="shared" si="0"/>
        <v>50-75%</v>
      </c>
      <c r="K19">
        <v>4</v>
      </c>
      <c r="L19">
        <v>5</v>
      </c>
      <c r="M19">
        <v>3</v>
      </c>
      <c r="N19">
        <v>4</v>
      </c>
      <c r="O19">
        <v>4</v>
      </c>
      <c r="P19">
        <v>20</v>
      </c>
      <c r="Q19" t="str">
        <f>IF(P19=0,"normal",IF(AND(P19&gt;=1,P19&lt;=8),"mild",IF(AND(P19&gt;=9,P19&lt;=15),"moderate",IF(P19&gt;15,"severe",""))))</f>
        <v>severe</v>
      </c>
      <c r="R19">
        <v>1061</v>
      </c>
    </row>
    <row r="20" spans="1:18" x14ac:dyDescent="0.3">
      <c r="A20" s="3" t="s">
        <v>40</v>
      </c>
      <c r="B20">
        <v>52</v>
      </c>
      <c r="C20" t="s">
        <v>10</v>
      </c>
      <c r="D20" s="1">
        <v>44383</v>
      </c>
      <c r="E20" t="s">
        <v>41</v>
      </c>
      <c r="F20" s="9" t="str">
        <f t="shared" si="0"/>
        <v>50-75%</v>
      </c>
      <c r="G20" s="9" t="str">
        <f t="shared" si="0"/>
        <v>50-75%</v>
      </c>
      <c r="H20" s="9" t="str">
        <f t="shared" si="0"/>
        <v>50-75%</v>
      </c>
      <c r="I20" s="9" t="str">
        <f t="shared" si="0"/>
        <v>50-75%</v>
      </c>
      <c r="J20" s="9" t="str">
        <f t="shared" si="0"/>
        <v>50-75%</v>
      </c>
      <c r="K20">
        <v>4</v>
      </c>
      <c r="L20">
        <v>4</v>
      </c>
      <c r="M20">
        <v>4</v>
      </c>
      <c r="N20">
        <v>4</v>
      </c>
      <c r="O20">
        <v>4</v>
      </c>
      <c r="P20">
        <v>20</v>
      </c>
      <c r="Q20" t="str">
        <f>IF(P20=0,"normal",IF(AND(P20&gt;=1,P20&lt;=8),"mild",IF(AND(P20&gt;=9,P20&lt;=15),"moderate",IF(P20&gt;15,"severe",""))))</f>
        <v>severe</v>
      </c>
      <c r="R20">
        <v>1301</v>
      </c>
    </row>
    <row r="21" spans="1:18" x14ac:dyDescent="0.3">
      <c r="A21" s="3" t="s">
        <v>42</v>
      </c>
      <c r="B21">
        <v>51</v>
      </c>
      <c r="C21" t="s">
        <v>10</v>
      </c>
      <c r="D21" s="1">
        <v>44231</v>
      </c>
      <c r="E21" t="s">
        <v>15</v>
      </c>
      <c r="F21" s="9" t="str">
        <f t="shared" si="0"/>
        <v>26-49%</v>
      </c>
      <c r="G21" s="9" t="str">
        <f t="shared" si="0"/>
        <v>50-75%</v>
      </c>
      <c r="H21" s="9" t="str">
        <f t="shared" si="0"/>
        <v>&gt;75%</v>
      </c>
      <c r="I21" s="9" t="str">
        <f t="shared" si="0"/>
        <v>26-49%</v>
      </c>
      <c r="J21" s="9" t="str">
        <f t="shared" si="0"/>
        <v>&gt;75%</v>
      </c>
      <c r="K21">
        <v>3</v>
      </c>
      <c r="L21">
        <v>4</v>
      </c>
      <c r="M21">
        <v>5</v>
      </c>
      <c r="N21">
        <v>3</v>
      </c>
      <c r="O21">
        <v>5</v>
      </c>
      <c r="P21">
        <v>20</v>
      </c>
      <c r="Q21" t="str">
        <f>IF(P21=0,"normal",IF(AND(P21&gt;=1,P21&lt;=8),"mild",IF(AND(P21&gt;=9,P21&lt;=15),"moderate",IF(P21&gt;15,"severe",""))))</f>
        <v>severe</v>
      </c>
      <c r="R21">
        <v>1121</v>
      </c>
    </row>
    <row r="22" spans="1:18" x14ac:dyDescent="0.3">
      <c r="A22" s="3" t="s">
        <v>43</v>
      </c>
      <c r="B22">
        <v>58</v>
      </c>
      <c r="C22" t="s">
        <v>10</v>
      </c>
      <c r="D22" s="1">
        <v>44403</v>
      </c>
      <c r="E22" t="s">
        <v>15</v>
      </c>
      <c r="F22" s="9" t="str">
        <f t="shared" si="0"/>
        <v>50-75%</v>
      </c>
      <c r="G22" s="9" t="str">
        <f t="shared" si="0"/>
        <v>26-49%</v>
      </c>
      <c r="H22" s="9" t="str">
        <f t="shared" si="0"/>
        <v>&gt;75%</v>
      </c>
      <c r="I22" s="9" t="str">
        <f t="shared" si="0"/>
        <v>50-75%</v>
      </c>
      <c r="J22" s="9" t="str">
        <f t="shared" si="0"/>
        <v>50-75%</v>
      </c>
      <c r="K22">
        <v>4</v>
      </c>
      <c r="L22">
        <v>3</v>
      </c>
      <c r="M22">
        <v>5</v>
      </c>
      <c r="N22">
        <v>4</v>
      </c>
      <c r="O22">
        <v>4</v>
      </c>
      <c r="P22">
        <v>20</v>
      </c>
      <c r="Q22" t="str">
        <f>IF(P22=0,"normal",IF(AND(P22&gt;=1,P22&lt;=8),"mild",IF(AND(P22&gt;=9,P22&lt;=15),"moderate",IF(P22&gt;15,"severe",""))))</f>
        <v>severe</v>
      </c>
      <c r="R22">
        <v>1441</v>
      </c>
    </row>
    <row r="23" spans="1:18" x14ac:dyDescent="0.3">
      <c r="A23" s="3" t="s">
        <v>44</v>
      </c>
      <c r="B23">
        <v>56</v>
      </c>
      <c r="C23" t="s">
        <v>10</v>
      </c>
      <c r="D23" s="1">
        <v>44330</v>
      </c>
      <c r="E23" t="s">
        <v>15</v>
      </c>
      <c r="F23" s="9" t="str">
        <f t="shared" si="0"/>
        <v>26-49%</v>
      </c>
      <c r="G23" s="9" t="str">
        <f t="shared" si="0"/>
        <v>26-49%</v>
      </c>
      <c r="H23" s="9" t="str">
        <f t="shared" si="0"/>
        <v>&gt;75%</v>
      </c>
      <c r="I23" s="9" t="str">
        <f t="shared" si="0"/>
        <v>26-49%</v>
      </c>
      <c r="J23" s="9" t="str">
        <f t="shared" si="0"/>
        <v>&gt;75%</v>
      </c>
      <c r="K23">
        <v>3</v>
      </c>
      <c r="L23">
        <v>3</v>
      </c>
      <c r="M23">
        <v>5</v>
      </c>
      <c r="N23">
        <v>3</v>
      </c>
      <c r="O23">
        <v>5</v>
      </c>
      <c r="P23">
        <v>19</v>
      </c>
      <c r="Q23" t="str">
        <f>IF(P23=0,"normal",IF(AND(P23&gt;=1,P23&lt;=8),"mild",IF(AND(P23&gt;=9,P23&lt;=15),"moderate",IF(P23&gt;15,"severe",""))))</f>
        <v>severe</v>
      </c>
      <c r="R23">
        <v>1121</v>
      </c>
    </row>
    <row r="24" spans="1:18" x14ac:dyDescent="0.3">
      <c r="A24" s="3" t="s">
        <v>45</v>
      </c>
      <c r="B24">
        <v>53</v>
      </c>
      <c r="C24" t="s">
        <v>10</v>
      </c>
      <c r="D24" s="1">
        <v>44266</v>
      </c>
      <c r="E24" t="s">
        <v>15</v>
      </c>
      <c r="F24" s="9" t="str">
        <f t="shared" si="0"/>
        <v>50-75%</v>
      </c>
      <c r="G24" s="9" t="str">
        <f t="shared" si="0"/>
        <v>50-75%</v>
      </c>
      <c r="H24" s="9" t="str">
        <f t="shared" si="0"/>
        <v>50-75%</v>
      </c>
      <c r="I24" s="9" t="str">
        <f t="shared" si="0"/>
        <v>26-49%</v>
      </c>
      <c r="J24" s="9" t="str">
        <f t="shared" si="0"/>
        <v>50-75%</v>
      </c>
      <c r="K24">
        <v>4</v>
      </c>
      <c r="L24">
        <v>4</v>
      </c>
      <c r="M24">
        <v>4</v>
      </c>
      <c r="N24">
        <v>3</v>
      </c>
      <c r="O24">
        <v>4</v>
      </c>
      <c r="P24">
        <v>19</v>
      </c>
      <c r="Q24" t="str">
        <f>IF(P24=0,"normal",IF(AND(P24&gt;=1,P24&lt;=8),"mild",IF(AND(P24&gt;=9,P24&lt;=15),"moderate",IF(P24&gt;15,"severe",""))))</f>
        <v>severe</v>
      </c>
      <c r="R24">
        <v>1381</v>
      </c>
    </row>
    <row r="25" spans="1:18" x14ac:dyDescent="0.3">
      <c r="A25" s="3" t="s">
        <v>46</v>
      </c>
      <c r="B25">
        <v>57</v>
      </c>
      <c r="C25" t="s">
        <v>10</v>
      </c>
      <c r="D25" s="1">
        <v>44329</v>
      </c>
      <c r="E25" t="s">
        <v>15</v>
      </c>
      <c r="F25" s="9" t="str">
        <f t="shared" si="0"/>
        <v>26-49%</v>
      </c>
      <c r="G25" s="9" t="str">
        <f t="shared" si="0"/>
        <v>26-49%</v>
      </c>
      <c r="H25" s="9" t="str">
        <f t="shared" si="0"/>
        <v>&gt;75%</v>
      </c>
      <c r="I25" s="9" t="str">
        <f t="shared" si="0"/>
        <v>26-49%</v>
      </c>
      <c r="J25" s="9" t="str">
        <f t="shared" si="0"/>
        <v>&gt;75%</v>
      </c>
      <c r="K25">
        <v>3</v>
      </c>
      <c r="L25">
        <v>3</v>
      </c>
      <c r="M25">
        <v>5</v>
      </c>
      <c r="N25">
        <v>3</v>
      </c>
      <c r="O25">
        <v>5</v>
      </c>
      <c r="P25">
        <v>19</v>
      </c>
      <c r="Q25" t="str">
        <f>IF(P25=0,"normal",IF(AND(P25&gt;=1,P25&lt;=8),"mild",IF(AND(P25&gt;=9,P25&lt;=15),"moderate",IF(P25&gt;15,"severe",""))))</f>
        <v>severe</v>
      </c>
      <c r="R25">
        <v>1081</v>
      </c>
    </row>
    <row r="26" spans="1:18" x14ac:dyDescent="0.3">
      <c r="A26" s="3" t="s">
        <v>47</v>
      </c>
      <c r="B26">
        <v>60</v>
      </c>
      <c r="C26" t="s">
        <v>14</v>
      </c>
      <c r="D26" s="1">
        <v>44363</v>
      </c>
      <c r="E26" t="s">
        <v>22</v>
      </c>
      <c r="F26" s="9" t="str">
        <f t="shared" si="0"/>
        <v>26-49%</v>
      </c>
      <c r="G26" s="9" t="str">
        <f t="shared" si="0"/>
        <v>50-75%</v>
      </c>
      <c r="H26" s="9" t="str">
        <f t="shared" si="0"/>
        <v>50-75%</v>
      </c>
      <c r="I26" s="9" t="str">
        <f t="shared" si="0"/>
        <v>50-75%</v>
      </c>
      <c r="J26" s="9" t="str">
        <f t="shared" si="0"/>
        <v>50-75%</v>
      </c>
      <c r="K26">
        <v>3</v>
      </c>
      <c r="L26">
        <v>4</v>
      </c>
      <c r="M26">
        <v>4</v>
      </c>
      <c r="N26">
        <v>4</v>
      </c>
      <c r="O26">
        <v>4</v>
      </c>
      <c r="P26">
        <v>19</v>
      </c>
      <c r="Q26" t="str">
        <f>IF(P26=0,"normal",IF(AND(P26&gt;=1,P26&lt;=8),"mild",IF(AND(P26&gt;=9,P26&lt;=15),"moderate",IF(P26&gt;15,"severe",""))))</f>
        <v>severe</v>
      </c>
      <c r="R26">
        <v>941</v>
      </c>
    </row>
    <row r="27" spans="1:18" x14ac:dyDescent="0.3">
      <c r="A27" s="3" t="s">
        <v>48</v>
      </c>
      <c r="B27">
        <v>63</v>
      </c>
      <c r="C27" t="s">
        <v>14</v>
      </c>
      <c r="D27" s="1">
        <v>44345</v>
      </c>
      <c r="E27" t="s">
        <v>22</v>
      </c>
      <c r="F27" s="9" t="str">
        <f t="shared" si="0"/>
        <v>26-49%</v>
      </c>
      <c r="G27" s="9" t="str">
        <f t="shared" si="0"/>
        <v>&gt;75%</v>
      </c>
      <c r="H27" s="9" t="str">
        <f t="shared" si="0"/>
        <v>26-49%</v>
      </c>
      <c r="I27" s="9" t="str">
        <f t="shared" si="0"/>
        <v>50-75%</v>
      </c>
      <c r="J27" s="9" t="str">
        <f t="shared" si="0"/>
        <v>50-75%</v>
      </c>
      <c r="K27">
        <v>3</v>
      </c>
      <c r="L27">
        <v>5</v>
      </c>
      <c r="M27">
        <v>3</v>
      </c>
      <c r="N27">
        <v>4</v>
      </c>
      <c r="O27">
        <v>4</v>
      </c>
      <c r="P27">
        <v>19</v>
      </c>
      <c r="Q27" t="str">
        <f>IF(P27=0,"normal",IF(AND(P27&gt;=1,P27&lt;=8),"mild",IF(AND(P27&gt;=9,P27&lt;=15),"moderate",IF(P27&gt;15,"severe",""))))</f>
        <v>severe</v>
      </c>
      <c r="R27">
        <v>861</v>
      </c>
    </row>
    <row r="28" spans="1:18" x14ac:dyDescent="0.3">
      <c r="A28" s="3" t="s">
        <v>49</v>
      </c>
      <c r="B28">
        <v>62</v>
      </c>
      <c r="C28" t="s">
        <v>10</v>
      </c>
      <c r="D28" s="1">
        <v>44261</v>
      </c>
      <c r="E28" t="s">
        <v>22</v>
      </c>
      <c r="F28" s="9" t="str">
        <f t="shared" si="0"/>
        <v>50-75%</v>
      </c>
      <c r="G28" s="9" t="str">
        <f t="shared" si="0"/>
        <v>50-75%</v>
      </c>
      <c r="H28" s="9" t="str">
        <f t="shared" si="0"/>
        <v>50-75%</v>
      </c>
      <c r="I28" s="9" t="str">
        <f t="shared" si="0"/>
        <v>50-75%</v>
      </c>
      <c r="J28" s="9" t="str">
        <f t="shared" si="0"/>
        <v>26-49%</v>
      </c>
      <c r="K28">
        <v>4</v>
      </c>
      <c r="L28">
        <v>4</v>
      </c>
      <c r="M28">
        <v>4</v>
      </c>
      <c r="N28">
        <v>4</v>
      </c>
      <c r="O28">
        <v>3</v>
      </c>
      <c r="P28">
        <v>19</v>
      </c>
      <c r="Q28" t="str">
        <f>IF(P28=0,"normal",IF(AND(P28&gt;=1,P28&lt;=8),"mild",IF(AND(P28&gt;=9,P28&lt;=15),"moderate",IF(P28&gt;15,"severe",""))))</f>
        <v>severe</v>
      </c>
      <c r="R28">
        <v>1370</v>
      </c>
    </row>
    <row r="29" spans="1:18" x14ac:dyDescent="0.3">
      <c r="A29" s="3" t="s">
        <v>50</v>
      </c>
      <c r="B29">
        <v>68</v>
      </c>
      <c r="C29" t="s">
        <v>14</v>
      </c>
      <c r="D29" s="1">
        <v>44344</v>
      </c>
      <c r="E29" t="s">
        <v>22</v>
      </c>
      <c r="F29" s="9" t="str">
        <f t="shared" si="0"/>
        <v>50-75%</v>
      </c>
      <c r="G29" s="9" t="str">
        <f t="shared" si="0"/>
        <v>26-49%</v>
      </c>
      <c r="H29" s="9" t="str">
        <f t="shared" si="0"/>
        <v>50-75%</v>
      </c>
      <c r="I29" s="9" t="str">
        <f t="shared" si="0"/>
        <v>26-49%</v>
      </c>
      <c r="J29" s="9" t="str">
        <f t="shared" si="0"/>
        <v>50-75%</v>
      </c>
      <c r="K29">
        <v>4</v>
      </c>
      <c r="L29">
        <v>3</v>
      </c>
      <c r="M29">
        <v>4</v>
      </c>
      <c r="N29">
        <v>3</v>
      </c>
      <c r="O29">
        <v>4</v>
      </c>
      <c r="P29">
        <v>18</v>
      </c>
      <c r="Q29" t="str">
        <f>IF(P29=0,"normal",IF(AND(P29&gt;=1,P29&lt;=8),"mild",IF(AND(P29&gt;=9,P29&lt;=15),"moderate",IF(P29&gt;15,"severe",""))))</f>
        <v>severe</v>
      </c>
      <c r="R29">
        <v>1181</v>
      </c>
    </row>
    <row r="30" spans="1:18" x14ac:dyDescent="0.3">
      <c r="A30" s="3" t="s">
        <v>51</v>
      </c>
      <c r="B30">
        <v>30</v>
      </c>
      <c r="C30" t="s">
        <v>10</v>
      </c>
      <c r="D30" s="1">
        <v>44338</v>
      </c>
      <c r="E30" t="s">
        <v>22</v>
      </c>
      <c r="F30" s="9" t="str">
        <f t="shared" si="0"/>
        <v>5-25%</v>
      </c>
      <c r="G30" s="9" t="str">
        <f t="shared" si="0"/>
        <v>26-49%</v>
      </c>
      <c r="H30" s="9" t="str">
        <f t="shared" si="0"/>
        <v>&gt;75%</v>
      </c>
      <c r="I30" s="9" t="str">
        <f t="shared" si="0"/>
        <v>26-49%</v>
      </c>
      <c r="J30" s="9" t="str">
        <f t="shared" si="0"/>
        <v>&gt;75%</v>
      </c>
      <c r="K30">
        <v>2</v>
      </c>
      <c r="L30">
        <v>3</v>
      </c>
      <c r="M30">
        <v>5</v>
      </c>
      <c r="N30">
        <v>3</v>
      </c>
      <c r="O30">
        <v>5</v>
      </c>
      <c r="P30">
        <v>18</v>
      </c>
      <c r="Q30" t="str">
        <f>IF(P30=0,"normal",IF(AND(P30&gt;=1,P30&lt;=8),"mild",IF(AND(P30&gt;=9,P30&lt;=15),"moderate",IF(P30&gt;15,"severe",""))))</f>
        <v>severe</v>
      </c>
      <c r="R30">
        <v>1271</v>
      </c>
    </row>
    <row r="31" spans="1:18" x14ac:dyDescent="0.3">
      <c r="A31" s="3" t="s">
        <v>53</v>
      </c>
      <c r="B31">
        <v>60</v>
      </c>
      <c r="C31" t="s">
        <v>14</v>
      </c>
      <c r="D31" s="1">
        <v>44423</v>
      </c>
      <c r="E31" t="s">
        <v>22</v>
      </c>
      <c r="F31" s="9" t="str">
        <f t="shared" si="0"/>
        <v>50-75%</v>
      </c>
      <c r="G31" s="9" t="str">
        <f t="shared" si="0"/>
        <v>26-49%</v>
      </c>
      <c r="H31" s="9" t="str">
        <f t="shared" si="0"/>
        <v>50-75%</v>
      </c>
      <c r="I31" s="9" t="str">
        <f t="shared" si="0"/>
        <v>26-49%</v>
      </c>
      <c r="J31" s="9" t="str">
        <f t="shared" si="0"/>
        <v>50-75%</v>
      </c>
      <c r="K31">
        <v>4</v>
      </c>
      <c r="L31">
        <v>3</v>
      </c>
      <c r="M31">
        <v>4</v>
      </c>
      <c r="N31">
        <v>3</v>
      </c>
      <c r="O31">
        <v>4</v>
      </c>
      <c r="P31">
        <v>18</v>
      </c>
      <c r="Q31" t="str">
        <f>IF(P31=0,"normal",IF(AND(P31&gt;=1,P31&lt;=8),"mild",IF(AND(P31&gt;=9,P31&lt;=15),"moderate",IF(P31&gt;15,"severe",""))))</f>
        <v>severe</v>
      </c>
      <c r="R31">
        <v>1061</v>
      </c>
    </row>
    <row r="32" spans="1:18" x14ac:dyDescent="0.3">
      <c r="A32" s="3" t="s">
        <v>54</v>
      </c>
      <c r="B32">
        <v>70</v>
      </c>
      <c r="C32" t="s">
        <v>10</v>
      </c>
      <c r="D32" s="1">
        <v>44446</v>
      </c>
      <c r="E32" t="s">
        <v>15</v>
      </c>
      <c r="F32" s="9" t="str">
        <f t="shared" si="0"/>
        <v>5-25%</v>
      </c>
      <c r="G32" s="9" t="str">
        <f t="shared" si="0"/>
        <v>26-49%</v>
      </c>
      <c r="H32" s="9" t="str">
        <f t="shared" si="0"/>
        <v>&gt;75%</v>
      </c>
      <c r="I32" s="9" t="str">
        <f t="shared" si="0"/>
        <v>26-49%</v>
      </c>
      <c r="J32" s="9" t="str">
        <f t="shared" si="0"/>
        <v>&gt;75%</v>
      </c>
      <c r="K32">
        <v>2</v>
      </c>
      <c r="L32">
        <v>3</v>
      </c>
      <c r="M32">
        <v>5</v>
      </c>
      <c r="N32">
        <v>3</v>
      </c>
      <c r="O32">
        <v>5</v>
      </c>
      <c r="P32">
        <v>18</v>
      </c>
      <c r="Q32" t="str">
        <f>IF(P32=0,"normal",IF(AND(P32&gt;=1,P32&lt;=8),"mild",IF(AND(P32&gt;=9,P32&lt;=15),"moderate",IF(P32&gt;15,"severe",""))))</f>
        <v>severe</v>
      </c>
      <c r="R32">
        <v>426</v>
      </c>
    </row>
    <row r="33" spans="1:18" x14ac:dyDescent="0.3">
      <c r="A33" s="3" t="s">
        <v>55</v>
      </c>
      <c r="B33">
        <v>39</v>
      </c>
      <c r="C33" t="s">
        <v>10</v>
      </c>
      <c r="D33" s="1">
        <v>44448</v>
      </c>
      <c r="E33" t="s">
        <v>11</v>
      </c>
      <c r="F33" s="9" t="str">
        <f t="shared" si="0"/>
        <v>5-25%</v>
      </c>
      <c r="G33" s="9" t="str">
        <f t="shared" si="0"/>
        <v>26-49%</v>
      </c>
      <c r="H33" s="9" t="str">
        <f t="shared" si="0"/>
        <v>&gt;75%</v>
      </c>
      <c r="I33" s="9" t="str">
        <f t="shared" si="0"/>
        <v>26-49%</v>
      </c>
      <c r="J33" s="9" t="str">
        <f t="shared" si="0"/>
        <v>&gt;75%</v>
      </c>
      <c r="K33">
        <v>2</v>
      </c>
      <c r="L33">
        <v>3</v>
      </c>
      <c r="M33">
        <v>5</v>
      </c>
      <c r="N33">
        <v>3</v>
      </c>
      <c r="O33">
        <v>5</v>
      </c>
      <c r="P33">
        <v>18</v>
      </c>
      <c r="Q33" t="str">
        <f>IF(P33=0,"normal",IF(AND(P33&gt;=1,P33&lt;=8),"mild",IF(AND(P33&gt;=9,P33&lt;=15),"moderate",IF(P33&gt;15,"severe",""))))</f>
        <v>severe</v>
      </c>
      <c r="R33">
        <v>1101</v>
      </c>
    </row>
    <row r="34" spans="1:18" x14ac:dyDescent="0.3">
      <c r="A34" s="3" t="s">
        <v>56</v>
      </c>
      <c r="B34">
        <v>56</v>
      </c>
      <c r="C34" t="s">
        <v>10</v>
      </c>
      <c r="D34" s="1">
        <v>44307</v>
      </c>
      <c r="E34" t="s">
        <v>11</v>
      </c>
      <c r="F34" s="9" t="str">
        <f t="shared" si="0"/>
        <v>26-49%</v>
      </c>
      <c r="G34" s="9" t="str">
        <f t="shared" si="0"/>
        <v>5-25%</v>
      </c>
      <c r="H34" s="9" t="str">
        <f t="shared" si="0"/>
        <v>50-75%</v>
      </c>
      <c r="I34" s="9" t="str">
        <f t="shared" si="0"/>
        <v>50-75%</v>
      </c>
      <c r="J34" s="9" t="str">
        <f t="shared" si="0"/>
        <v>50-75%</v>
      </c>
      <c r="K34">
        <v>3</v>
      </c>
      <c r="L34">
        <v>2</v>
      </c>
      <c r="M34">
        <v>4</v>
      </c>
      <c r="N34">
        <v>4</v>
      </c>
      <c r="O34">
        <v>4</v>
      </c>
      <c r="P34">
        <v>17</v>
      </c>
      <c r="Q34" t="str">
        <f>IF(P34=0,"normal",IF(AND(P34&gt;=1,P34&lt;=8),"mild",IF(AND(P34&gt;=9,P34&lt;=15),"moderate",IF(P34&gt;15,"severe",""))))</f>
        <v>severe</v>
      </c>
      <c r="R34">
        <v>1301</v>
      </c>
    </row>
    <row r="35" spans="1:18" x14ac:dyDescent="0.3">
      <c r="A35" s="3" t="s">
        <v>57</v>
      </c>
      <c r="B35">
        <v>68</v>
      </c>
      <c r="C35" t="s">
        <v>10</v>
      </c>
      <c r="D35" s="1">
        <v>44307</v>
      </c>
      <c r="E35" t="s">
        <v>22</v>
      </c>
      <c r="F35" s="9" t="str">
        <f t="shared" si="0"/>
        <v>5-25%</v>
      </c>
      <c r="G35" s="9" t="str">
        <f t="shared" si="0"/>
        <v>50-75%</v>
      </c>
      <c r="H35" s="9" t="str">
        <f t="shared" si="0"/>
        <v>26-49%</v>
      </c>
      <c r="I35" s="9" t="str">
        <f t="shared" si="0"/>
        <v>26-49%</v>
      </c>
      <c r="J35" s="9" t="str">
        <f t="shared" si="0"/>
        <v>&gt;75%</v>
      </c>
      <c r="K35">
        <v>2</v>
      </c>
      <c r="L35">
        <v>4</v>
      </c>
      <c r="M35">
        <v>3</v>
      </c>
      <c r="N35">
        <v>3</v>
      </c>
      <c r="O35">
        <v>5</v>
      </c>
      <c r="P35">
        <v>17</v>
      </c>
      <c r="Q35" t="str">
        <f>IF(P35=0,"normal",IF(AND(P35&gt;=1,P35&lt;=8),"mild",IF(AND(P35&gt;=9,P35&lt;=15),"moderate",IF(P35&gt;15,"severe",""))))</f>
        <v>severe</v>
      </c>
      <c r="R35">
        <v>1141</v>
      </c>
    </row>
    <row r="36" spans="1:18" x14ac:dyDescent="0.3">
      <c r="A36" s="3" t="s">
        <v>58</v>
      </c>
      <c r="B36">
        <v>35</v>
      </c>
      <c r="C36" t="s">
        <v>10</v>
      </c>
      <c r="D36" s="1">
        <v>44383</v>
      </c>
      <c r="E36" t="s">
        <v>15</v>
      </c>
      <c r="F36" s="9" t="str">
        <f t="shared" si="0"/>
        <v>26-49%</v>
      </c>
      <c r="G36" s="9" t="str">
        <f t="shared" si="0"/>
        <v>26-49%</v>
      </c>
      <c r="H36" s="9" t="str">
        <f t="shared" si="0"/>
        <v>50-75%</v>
      </c>
      <c r="I36" s="9" t="str">
        <f t="shared" si="0"/>
        <v>26-49%</v>
      </c>
      <c r="J36" s="9" t="str">
        <f t="shared" si="0"/>
        <v>50-75%</v>
      </c>
      <c r="K36">
        <v>3</v>
      </c>
      <c r="L36">
        <v>3</v>
      </c>
      <c r="M36">
        <v>4</v>
      </c>
      <c r="N36">
        <v>3</v>
      </c>
      <c r="O36">
        <v>4</v>
      </c>
      <c r="P36">
        <v>17</v>
      </c>
      <c r="Q36" t="str">
        <f>IF(P36=0,"normal",IF(AND(P36&gt;=1,P36&lt;=8),"mild",IF(AND(P36&gt;=9,P36&lt;=15),"moderate",IF(P36&gt;15,"severe",""))))</f>
        <v>severe</v>
      </c>
      <c r="R36">
        <v>1221</v>
      </c>
    </row>
    <row r="37" spans="1:18" x14ac:dyDescent="0.3">
      <c r="A37" s="3" t="s">
        <v>59</v>
      </c>
      <c r="B37">
        <v>26</v>
      </c>
      <c r="C37" t="s">
        <v>14</v>
      </c>
      <c r="D37" s="1">
        <v>44308</v>
      </c>
      <c r="E37" t="s">
        <v>22</v>
      </c>
      <c r="F37" s="9" t="str">
        <f t="shared" si="0"/>
        <v>50-75%</v>
      </c>
      <c r="G37" s="9" t="str">
        <f t="shared" si="0"/>
        <v>26-49%</v>
      </c>
      <c r="H37" s="9" t="str">
        <f t="shared" si="0"/>
        <v>50-75%</v>
      </c>
      <c r="I37" s="9" t="str">
        <f t="shared" si="0"/>
        <v>26-49%</v>
      </c>
      <c r="J37" s="9" t="str">
        <f t="shared" si="0"/>
        <v>26-49%</v>
      </c>
      <c r="K37">
        <v>4</v>
      </c>
      <c r="L37">
        <v>3</v>
      </c>
      <c r="M37">
        <v>4</v>
      </c>
      <c r="N37">
        <v>3</v>
      </c>
      <c r="O37">
        <v>3</v>
      </c>
      <c r="P37">
        <v>17</v>
      </c>
      <c r="Q37" t="str">
        <f>IF(P37=0,"normal",IF(AND(P37&gt;=1,P37&lt;=8),"mild",IF(AND(P37&gt;=9,P37&lt;=15),"moderate",IF(P37&gt;15,"severe",""))))</f>
        <v>severe</v>
      </c>
      <c r="R37">
        <v>1001</v>
      </c>
    </row>
    <row r="38" spans="1:18" x14ac:dyDescent="0.3">
      <c r="A38" s="3" t="s">
        <v>60</v>
      </c>
      <c r="B38">
        <v>49</v>
      </c>
      <c r="C38" t="s">
        <v>14</v>
      </c>
      <c r="D38" s="1">
        <v>44506</v>
      </c>
      <c r="E38" t="s">
        <v>15</v>
      </c>
      <c r="F38" s="9" t="str">
        <f t="shared" si="0"/>
        <v>50-75%</v>
      </c>
      <c r="G38" s="9" t="str">
        <f t="shared" si="0"/>
        <v>50-75%</v>
      </c>
      <c r="H38" s="9" t="str">
        <f t="shared" si="0"/>
        <v>26-49%</v>
      </c>
      <c r="I38" s="9" t="str">
        <f t="shared" si="0"/>
        <v>26-49%</v>
      </c>
      <c r="J38" s="9" t="str">
        <f t="shared" si="0"/>
        <v>26-49%</v>
      </c>
      <c r="K38">
        <v>4</v>
      </c>
      <c r="L38">
        <v>4</v>
      </c>
      <c r="M38">
        <v>3</v>
      </c>
      <c r="N38">
        <v>3</v>
      </c>
      <c r="O38">
        <v>3</v>
      </c>
      <c r="P38">
        <v>17</v>
      </c>
      <c r="Q38" t="str">
        <f>IF(P38=0,"normal",IF(AND(P38&gt;=1,P38&lt;=8),"mild",IF(AND(P38&gt;=9,P38&lt;=15),"moderate",IF(P38&gt;15,"severe",""))))</f>
        <v>severe</v>
      </c>
      <c r="R38">
        <v>1041</v>
      </c>
    </row>
    <row r="39" spans="1:18" x14ac:dyDescent="0.3">
      <c r="A39" s="3" t="s">
        <v>61</v>
      </c>
      <c r="B39">
        <v>35</v>
      </c>
      <c r="C39" t="s">
        <v>10</v>
      </c>
      <c r="D39" s="1">
        <v>44467</v>
      </c>
      <c r="E39" t="s">
        <v>15</v>
      </c>
      <c r="F39" s="9" t="str">
        <f t="shared" si="0"/>
        <v>26-49%</v>
      </c>
      <c r="G39" s="9" t="str">
        <f t="shared" si="0"/>
        <v>26-49%</v>
      </c>
      <c r="H39" s="9" t="str">
        <f t="shared" si="0"/>
        <v>50-75%</v>
      </c>
      <c r="I39" s="9" t="str">
        <f t="shared" si="0"/>
        <v>26-49%</v>
      </c>
      <c r="J39" s="9" t="str">
        <f t="shared" si="0"/>
        <v>50-75%</v>
      </c>
      <c r="K39">
        <v>3</v>
      </c>
      <c r="L39">
        <v>3</v>
      </c>
      <c r="M39">
        <v>4</v>
      </c>
      <c r="N39">
        <v>3</v>
      </c>
      <c r="O39">
        <v>4</v>
      </c>
      <c r="P39">
        <v>17</v>
      </c>
      <c r="Q39" t="str">
        <f>IF(P39=0,"normal",IF(AND(P39&gt;=1,P39&lt;=8),"mild",IF(AND(P39&gt;=9,P39&lt;=15),"moderate",IF(P39&gt;15,"severe",""))))</f>
        <v>severe</v>
      </c>
      <c r="R39">
        <v>1261</v>
      </c>
    </row>
    <row r="40" spans="1:18" x14ac:dyDescent="0.3">
      <c r="A40" s="3" t="s">
        <v>62</v>
      </c>
      <c r="B40">
        <v>25</v>
      </c>
      <c r="C40" t="s">
        <v>10</v>
      </c>
      <c r="D40" s="1">
        <v>44403</v>
      </c>
      <c r="E40" t="s">
        <v>63</v>
      </c>
      <c r="F40" s="9" t="str">
        <f t="shared" si="0"/>
        <v>50-75%</v>
      </c>
      <c r="G40" s="9" t="str">
        <f t="shared" si="0"/>
        <v>26-49%</v>
      </c>
      <c r="H40" s="9" t="str">
        <f t="shared" si="0"/>
        <v>26-49%</v>
      </c>
      <c r="I40" s="9" t="str">
        <f t="shared" si="0"/>
        <v>26-49%</v>
      </c>
      <c r="J40" s="9" t="str">
        <f t="shared" si="0"/>
        <v>50-75%</v>
      </c>
      <c r="K40">
        <v>4</v>
      </c>
      <c r="L40">
        <v>3</v>
      </c>
      <c r="M40">
        <v>3</v>
      </c>
      <c r="N40">
        <v>3</v>
      </c>
      <c r="O40">
        <v>4</v>
      </c>
      <c r="P40">
        <v>17</v>
      </c>
      <c r="Q40" t="str">
        <f>IF(P40=0,"normal",IF(AND(P40&gt;=1,P40&lt;=8),"mild",IF(AND(P40&gt;=9,P40&lt;=15),"moderate",IF(P40&gt;15,"severe",""))))</f>
        <v>severe</v>
      </c>
      <c r="R40">
        <v>1241</v>
      </c>
    </row>
    <row r="41" spans="1:18" x14ac:dyDescent="0.3">
      <c r="A41" s="3" t="s">
        <v>64</v>
      </c>
      <c r="B41">
        <v>27</v>
      </c>
      <c r="C41" t="s">
        <v>10</v>
      </c>
      <c r="D41" s="1">
        <v>44465</v>
      </c>
      <c r="E41" t="s">
        <v>65</v>
      </c>
      <c r="F41" s="9" t="str">
        <f t="shared" si="0"/>
        <v>26-49%</v>
      </c>
      <c r="G41" s="9" t="str">
        <f t="shared" si="0"/>
        <v>26-49%</v>
      </c>
      <c r="H41" s="9" t="str">
        <f t="shared" si="0"/>
        <v>50-75%</v>
      </c>
      <c r="I41" s="9" t="str">
        <f t="shared" si="0"/>
        <v>26-49%</v>
      </c>
      <c r="J41" s="9" t="str">
        <f t="shared" si="0"/>
        <v>50-75%</v>
      </c>
      <c r="K41">
        <v>3</v>
      </c>
      <c r="L41">
        <v>3</v>
      </c>
      <c r="M41">
        <v>4</v>
      </c>
      <c r="N41">
        <v>3</v>
      </c>
      <c r="O41">
        <v>4</v>
      </c>
      <c r="P41">
        <v>17</v>
      </c>
      <c r="Q41" t="str">
        <f>IF(P41=0,"normal",IF(AND(P41&gt;=1,P41&lt;=8),"mild",IF(AND(P41&gt;=9,P41&lt;=15),"moderate",IF(P41&gt;15,"severe",""))))</f>
        <v>severe</v>
      </c>
      <c r="R41">
        <v>1401</v>
      </c>
    </row>
    <row r="42" spans="1:18" x14ac:dyDescent="0.3">
      <c r="A42" s="3" t="s">
        <v>66</v>
      </c>
      <c r="B42">
        <v>47</v>
      </c>
      <c r="C42" t="s">
        <v>10</v>
      </c>
      <c r="D42" s="1">
        <v>44295</v>
      </c>
      <c r="E42" t="s">
        <v>22</v>
      </c>
      <c r="F42" s="9" t="str">
        <f t="shared" si="0"/>
        <v>26-49%</v>
      </c>
      <c r="G42" s="9" t="str">
        <f t="shared" si="0"/>
        <v>26-49%</v>
      </c>
      <c r="H42" s="9" t="str">
        <f t="shared" si="0"/>
        <v>26-49%</v>
      </c>
      <c r="I42" s="9" t="str">
        <f t="shared" si="0"/>
        <v>26-49%</v>
      </c>
      <c r="J42" s="9" t="str">
        <f t="shared" si="0"/>
        <v>&gt;75%</v>
      </c>
      <c r="K42">
        <v>3</v>
      </c>
      <c r="L42">
        <v>3</v>
      </c>
      <c r="M42">
        <v>3</v>
      </c>
      <c r="N42">
        <v>3</v>
      </c>
      <c r="O42">
        <v>5</v>
      </c>
      <c r="P42">
        <v>17</v>
      </c>
      <c r="Q42" t="str">
        <f>IF(P42=0,"normal",IF(AND(P42&gt;=1,P42&lt;=8),"mild",IF(AND(P42&gt;=9,P42&lt;=15),"moderate",IF(P42&gt;15,"severe",""))))</f>
        <v>severe</v>
      </c>
      <c r="R42">
        <v>1041</v>
      </c>
    </row>
    <row r="43" spans="1:18" x14ac:dyDescent="0.3">
      <c r="A43" s="3" t="s">
        <v>67</v>
      </c>
      <c r="B43">
        <v>32</v>
      </c>
      <c r="C43" t="s">
        <v>10</v>
      </c>
      <c r="D43" s="1">
        <v>44463</v>
      </c>
      <c r="E43" t="s">
        <v>68</v>
      </c>
      <c r="F43" s="9" t="str">
        <f t="shared" si="0"/>
        <v>50-75%</v>
      </c>
      <c r="G43" s="9" t="str">
        <f t="shared" si="0"/>
        <v>50-75%</v>
      </c>
      <c r="H43" s="9" t="str">
        <f t="shared" si="0"/>
        <v>26-49%</v>
      </c>
      <c r="I43" s="9" t="str">
        <f t="shared" si="0"/>
        <v>26-49%</v>
      </c>
      <c r="J43" s="9" t="str">
        <f t="shared" si="0"/>
        <v>26-49%</v>
      </c>
      <c r="K43">
        <v>4</v>
      </c>
      <c r="L43">
        <v>4</v>
      </c>
      <c r="M43">
        <v>3</v>
      </c>
      <c r="N43">
        <v>3</v>
      </c>
      <c r="O43">
        <v>3</v>
      </c>
      <c r="P43">
        <v>17</v>
      </c>
      <c r="Q43" t="str">
        <f>IF(P43=0,"normal",IF(AND(P43&gt;=1,P43&lt;=8),"mild",IF(AND(P43&gt;=9,P43&lt;=15),"moderate",IF(P43&gt;15,"severe",""))))</f>
        <v>severe</v>
      </c>
      <c r="R43">
        <v>1381</v>
      </c>
    </row>
    <row r="44" spans="1:18" x14ac:dyDescent="0.3">
      <c r="A44" s="3" t="s">
        <v>69</v>
      </c>
      <c r="B44">
        <v>82</v>
      </c>
      <c r="C44" t="s">
        <v>10</v>
      </c>
      <c r="D44" s="1">
        <v>44396</v>
      </c>
      <c r="E44" t="s">
        <v>22</v>
      </c>
      <c r="F44" s="9" t="str">
        <f t="shared" si="0"/>
        <v>26-49%</v>
      </c>
      <c r="G44" s="9" t="str">
        <f t="shared" si="0"/>
        <v>26-49%</v>
      </c>
      <c r="H44" s="9" t="str">
        <f t="shared" si="0"/>
        <v>50-75%</v>
      </c>
      <c r="I44" s="9" t="str">
        <f t="shared" si="0"/>
        <v>26-49%</v>
      </c>
      <c r="J44" s="9" t="str">
        <f t="shared" si="0"/>
        <v>50-75%</v>
      </c>
      <c r="K44">
        <v>3</v>
      </c>
      <c r="L44">
        <v>3</v>
      </c>
      <c r="M44">
        <v>4</v>
      </c>
      <c r="N44">
        <v>3</v>
      </c>
      <c r="O44">
        <v>4</v>
      </c>
      <c r="P44">
        <v>17</v>
      </c>
      <c r="Q44" t="str">
        <f>IF(P44=0,"normal",IF(AND(P44&gt;=1,P44&lt;=8),"mild",IF(AND(P44&gt;=9,P44&lt;=15),"moderate",IF(P44&gt;15,"severe",""))))</f>
        <v>severe</v>
      </c>
      <c r="R44">
        <v>1141</v>
      </c>
    </row>
    <row r="45" spans="1:18" x14ac:dyDescent="0.3">
      <c r="A45" s="3" t="s">
        <v>70</v>
      </c>
      <c r="B45">
        <v>32</v>
      </c>
      <c r="C45" t="s">
        <v>10</v>
      </c>
      <c r="D45" s="1">
        <v>44368</v>
      </c>
      <c r="E45" t="s">
        <v>15</v>
      </c>
      <c r="F45" s="9" t="str">
        <f t="shared" si="0"/>
        <v>26-49%</v>
      </c>
      <c r="G45" s="9" t="str">
        <f t="shared" si="0"/>
        <v>26-49%</v>
      </c>
      <c r="H45" s="9" t="str">
        <f t="shared" si="0"/>
        <v>50-75%</v>
      </c>
      <c r="I45" s="9" t="str">
        <f t="shared" si="0"/>
        <v>5-25%</v>
      </c>
      <c r="J45" s="9" t="str">
        <f t="shared" si="0"/>
        <v>50-75%</v>
      </c>
      <c r="K45">
        <v>3</v>
      </c>
      <c r="L45">
        <v>3</v>
      </c>
      <c r="M45">
        <v>4</v>
      </c>
      <c r="N45">
        <v>2</v>
      </c>
      <c r="O45">
        <v>4</v>
      </c>
      <c r="P45">
        <v>16</v>
      </c>
      <c r="Q45" t="str">
        <f>IF(P45=0,"normal",IF(AND(P45&gt;=1,P45&lt;=8),"mild",IF(AND(P45&gt;=9,P45&lt;=15),"moderate",IF(P45&gt;15,"severe",""))))</f>
        <v>severe</v>
      </c>
      <c r="R45">
        <v>981</v>
      </c>
    </row>
    <row r="46" spans="1:18" x14ac:dyDescent="0.3">
      <c r="A46" s="3" t="s">
        <v>71</v>
      </c>
      <c r="B46">
        <v>32</v>
      </c>
      <c r="C46" t="s">
        <v>10</v>
      </c>
      <c r="D46" s="1">
        <v>44469</v>
      </c>
      <c r="E46" t="s">
        <v>11</v>
      </c>
      <c r="F46" s="9" t="str">
        <f t="shared" si="0"/>
        <v>26-49%</v>
      </c>
      <c r="G46" s="9" t="str">
        <f t="shared" si="0"/>
        <v>5-25%</v>
      </c>
      <c r="H46" s="9" t="str">
        <f t="shared" si="0"/>
        <v>50-75%</v>
      </c>
      <c r="I46" s="9" t="str">
        <f t="shared" si="0"/>
        <v>26-49%</v>
      </c>
      <c r="J46" s="9" t="str">
        <f t="shared" si="0"/>
        <v>50-75%</v>
      </c>
      <c r="K46">
        <v>3</v>
      </c>
      <c r="L46">
        <v>2</v>
      </c>
      <c r="M46">
        <v>4</v>
      </c>
      <c r="N46">
        <v>3</v>
      </c>
      <c r="O46">
        <v>4</v>
      </c>
      <c r="P46">
        <v>16</v>
      </c>
      <c r="Q46" t="str">
        <f>IF(P46=0,"normal",IF(AND(P46&gt;=1,P46&lt;=8),"mild",IF(AND(P46&gt;=9,P46&lt;=15),"moderate",IF(P46&gt;15,"severe",""))))</f>
        <v>severe</v>
      </c>
      <c r="R46">
        <v>1101</v>
      </c>
    </row>
    <row r="47" spans="1:18" x14ac:dyDescent="0.3">
      <c r="A47" s="3" t="s">
        <v>72</v>
      </c>
      <c r="B47">
        <v>65</v>
      </c>
      <c r="C47" t="s">
        <v>10</v>
      </c>
      <c r="D47" s="1">
        <v>44203</v>
      </c>
      <c r="E47" t="s">
        <v>22</v>
      </c>
      <c r="F47" s="9" t="str">
        <f t="shared" si="0"/>
        <v>50-75%</v>
      </c>
      <c r="G47" s="9" t="str">
        <f t="shared" si="0"/>
        <v>26-49%</v>
      </c>
      <c r="H47" s="9" t="str">
        <f t="shared" si="0"/>
        <v>5-25%</v>
      </c>
      <c r="I47" s="9" t="str">
        <f t="shared" si="0"/>
        <v>50-75%</v>
      </c>
      <c r="J47" s="9" t="str">
        <f t="shared" si="0"/>
        <v>26-49%</v>
      </c>
      <c r="K47">
        <v>4</v>
      </c>
      <c r="L47">
        <v>3</v>
      </c>
      <c r="M47">
        <v>2</v>
      </c>
      <c r="N47">
        <v>4</v>
      </c>
      <c r="O47">
        <v>3</v>
      </c>
      <c r="P47">
        <v>16</v>
      </c>
      <c r="Q47" t="str">
        <f>IF(P47=0,"normal",IF(AND(P47&gt;=1,P47&lt;=8),"mild",IF(AND(P47&gt;=9,P47&lt;=15),"moderate",IF(P47&gt;15,"severe",""))))</f>
        <v>severe</v>
      </c>
      <c r="R47">
        <v>1061</v>
      </c>
    </row>
    <row r="48" spans="1:18" x14ac:dyDescent="0.3">
      <c r="A48" s="3" t="s">
        <v>73</v>
      </c>
      <c r="B48">
        <v>50</v>
      </c>
      <c r="C48" t="s">
        <v>14</v>
      </c>
      <c r="D48" s="1">
        <v>44343</v>
      </c>
      <c r="E48" t="s">
        <v>22</v>
      </c>
      <c r="F48" s="9" t="str">
        <f t="shared" si="0"/>
        <v>26-49%</v>
      </c>
      <c r="G48" s="9" t="str">
        <f t="shared" si="0"/>
        <v>5-25%</v>
      </c>
      <c r="H48" s="9" t="str">
        <f t="shared" si="0"/>
        <v>50-75%</v>
      </c>
      <c r="I48" s="9" t="str">
        <f t="shared" si="0"/>
        <v>26-49%</v>
      </c>
      <c r="J48" s="9" t="str">
        <f t="shared" si="0"/>
        <v>50-75%</v>
      </c>
      <c r="K48">
        <v>3</v>
      </c>
      <c r="L48">
        <v>2</v>
      </c>
      <c r="M48">
        <v>4</v>
      </c>
      <c r="N48">
        <v>3</v>
      </c>
      <c r="O48">
        <v>4</v>
      </c>
      <c r="P48">
        <v>16</v>
      </c>
      <c r="Q48" t="str">
        <f>IF(P48=0,"normal",IF(AND(P48&gt;=1,P48&lt;=8),"mild",IF(AND(P48&gt;=9,P48&lt;=15),"moderate",IF(P48&gt;15,"severe",""))))</f>
        <v>severe</v>
      </c>
      <c r="R48">
        <v>1441</v>
      </c>
    </row>
    <row r="49" spans="1:18" x14ac:dyDescent="0.3">
      <c r="A49" s="3" t="s">
        <v>74</v>
      </c>
      <c r="B49">
        <v>55</v>
      </c>
      <c r="C49" t="s">
        <v>14</v>
      </c>
      <c r="D49" s="1">
        <v>44509</v>
      </c>
      <c r="E49" t="s">
        <v>22</v>
      </c>
      <c r="F49" s="9" t="str">
        <f t="shared" si="0"/>
        <v>26-49%</v>
      </c>
      <c r="G49" s="9" t="str">
        <f t="shared" si="0"/>
        <v>50-75%</v>
      </c>
      <c r="H49" s="9" t="str">
        <f t="shared" si="0"/>
        <v>26-49%</v>
      </c>
      <c r="I49" s="9" t="str">
        <f t="shared" si="0"/>
        <v>5-25%</v>
      </c>
      <c r="J49" s="9" t="str">
        <f t="shared" si="0"/>
        <v>50-75%</v>
      </c>
      <c r="K49">
        <v>3</v>
      </c>
      <c r="L49">
        <v>4</v>
      </c>
      <c r="M49">
        <v>3</v>
      </c>
      <c r="N49">
        <v>2</v>
      </c>
      <c r="O49">
        <v>4</v>
      </c>
      <c r="P49">
        <v>16</v>
      </c>
      <c r="Q49" t="str">
        <f>IF(P49=0,"normal",IF(AND(P49&gt;=1,P49&lt;=8),"mild",IF(AND(P49&gt;=9,P49&lt;=15),"moderate",IF(P49&gt;15,"severe",""))))</f>
        <v>severe</v>
      </c>
      <c r="R49">
        <v>1226</v>
      </c>
    </row>
    <row r="50" spans="1:18" x14ac:dyDescent="0.3">
      <c r="A50" s="3" t="s">
        <v>75</v>
      </c>
      <c r="B50">
        <v>73</v>
      </c>
      <c r="C50" t="s">
        <v>10</v>
      </c>
      <c r="D50" s="1">
        <v>44432</v>
      </c>
      <c r="E50" t="s">
        <v>20</v>
      </c>
      <c r="F50" s="9" t="str">
        <f t="shared" si="0"/>
        <v>50-75%</v>
      </c>
      <c r="G50" s="9" t="str">
        <f t="shared" si="0"/>
        <v>26-49%</v>
      </c>
      <c r="H50" s="9" t="str">
        <f t="shared" si="0"/>
        <v>26-49%</v>
      </c>
      <c r="I50" s="9" t="str">
        <f t="shared" si="0"/>
        <v>5-25%</v>
      </c>
      <c r="J50" s="9" t="str">
        <f t="shared" si="0"/>
        <v>26-49%</v>
      </c>
      <c r="K50">
        <v>4</v>
      </c>
      <c r="L50">
        <v>3</v>
      </c>
      <c r="M50">
        <v>3</v>
      </c>
      <c r="N50">
        <v>2</v>
      </c>
      <c r="O50">
        <v>3</v>
      </c>
      <c r="P50">
        <v>15</v>
      </c>
      <c r="Q50" t="str">
        <f>IF(P50=0,"normal",IF(AND(P50&gt;=1,P50&lt;=8),"mild",IF(AND(P50&gt;=9,P50&lt;=15),"moderate",IF(P50&gt;15,"severe",""))))</f>
        <v>moderate</v>
      </c>
      <c r="R50">
        <v>1181</v>
      </c>
    </row>
    <row r="51" spans="1:18" x14ac:dyDescent="0.3">
      <c r="A51" s="3" t="s">
        <v>78</v>
      </c>
      <c r="B51">
        <v>51</v>
      </c>
      <c r="C51" t="s">
        <v>10</v>
      </c>
      <c r="D51" s="1">
        <v>44504</v>
      </c>
      <c r="E51" t="s">
        <v>22</v>
      </c>
      <c r="F51" s="9" t="str">
        <f t="shared" si="0"/>
        <v>5-25%</v>
      </c>
      <c r="G51" s="9" t="str">
        <f t="shared" si="0"/>
        <v>&lt;5%</v>
      </c>
      <c r="H51" s="9" t="str">
        <f t="shared" si="0"/>
        <v>50-75%</v>
      </c>
      <c r="I51" s="9" t="str">
        <f t="shared" si="0"/>
        <v>26-49%</v>
      </c>
      <c r="J51" s="9" t="str">
        <f t="shared" si="0"/>
        <v>&gt;75%</v>
      </c>
      <c r="K51">
        <v>2</v>
      </c>
      <c r="L51">
        <v>1</v>
      </c>
      <c r="M51">
        <v>4</v>
      </c>
      <c r="N51">
        <v>3</v>
      </c>
      <c r="O51">
        <v>5</v>
      </c>
      <c r="P51">
        <v>15</v>
      </c>
      <c r="Q51" t="str">
        <f>IF(P51=0,"normal",IF(AND(P51&gt;=1,P51&lt;=8),"mild",IF(AND(P51&gt;=9,P51&lt;=15),"moderate",IF(P51&gt;15,"severe",""))))</f>
        <v>moderate</v>
      </c>
      <c r="R51">
        <v>1121</v>
      </c>
    </row>
    <row r="52" spans="1:18" x14ac:dyDescent="0.3">
      <c r="A52" s="3" t="s">
        <v>79</v>
      </c>
      <c r="B52">
        <v>60</v>
      </c>
      <c r="C52" t="s">
        <v>14</v>
      </c>
      <c r="D52" s="1">
        <v>44414</v>
      </c>
      <c r="E52" t="s">
        <v>22</v>
      </c>
      <c r="F52" s="9" t="str">
        <f t="shared" si="0"/>
        <v>26-49%</v>
      </c>
      <c r="G52" s="9" t="str">
        <f t="shared" si="0"/>
        <v>5-25%</v>
      </c>
      <c r="H52" s="9" t="str">
        <f t="shared" si="0"/>
        <v>50-75%</v>
      </c>
      <c r="I52" s="9" t="str">
        <f t="shared" si="0"/>
        <v>26-49%</v>
      </c>
      <c r="J52" s="9" t="str">
        <f t="shared" si="0"/>
        <v>26-49%</v>
      </c>
      <c r="K52">
        <v>3</v>
      </c>
      <c r="L52">
        <v>2</v>
      </c>
      <c r="M52">
        <v>4</v>
      </c>
      <c r="N52">
        <v>3</v>
      </c>
      <c r="O52">
        <v>3</v>
      </c>
      <c r="P52">
        <v>15</v>
      </c>
      <c r="Q52" t="str">
        <f>IF(P52=0,"normal",IF(AND(P52&gt;=1,P52&lt;=8),"mild",IF(AND(P52&gt;=9,P52&lt;=15),"moderate",IF(P52&gt;15,"severe",""))))</f>
        <v>moderate</v>
      </c>
      <c r="R52">
        <v>1221</v>
      </c>
    </row>
    <row r="53" spans="1:18" x14ac:dyDescent="0.3">
      <c r="A53" s="3" t="s">
        <v>80</v>
      </c>
      <c r="B53">
        <v>40</v>
      </c>
      <c r="C53" t="s">
        <v>10</v>
      </c>
      <c r="D53" s="1">
        <v>44339</v>
      </c>
      <c r="E53" t="s">
        <v>15</v>
      </c>
      <c r="F53" s="9" t="str">
        <f t="shared" ref="F53:J68" si="1">IF(K53=0,"0%",IF(K53=1,"&lt;5%",IF(K53=2,"5-25%",IF(K53=3,"26-49%",IF(K53=4,"50-75%",IF(K53=5,"&gt;75%"))))))</f>
        <v>26-49%</v>
      </c>
      <c r="G53" s="9" t="str">
        <f t="shared" si="1"/>
        <v>26-49%</v>
      </c>
      <c r="H53" s="9" t="str">
        <f t="shared" si="1"/>
        <v>26-49%</v>
      </c>
      <c r="I53" s="9" t="str">
        <f t="shared" si="1"/>
        <v>26-49%</v>
      </c>
      <c r="J53" s="9" t="str">
        <f t="shared" si="1"/>
        <v>26-49%</v>
      </c>
      <c r="K53">
        <v>3</v>
      </c>
      <c r="L53">
        <v>3</v>
      </c>
      <c r="M53">
        <v>3</v>
      </c>
      <c r="N53">
        <v>3</v>
      </c>
      <c r="O53">
        <v>3</v>
      </c>
      <c r="P53">
        <v>15</v>
      </c>
      <c r="Q53" t="str">
        <f>IF(P53=0,"normal",IF(AND(P53&gt;=1,P53&lt;=8),"mild",IF(AND(P53&gt;=9,P53&lt;=15),"moderate",IF(P53&gt;15,"severe",""))))</f>
        <v>moderate</v>
      </c>
      <c r="R53">
        <v>1341</v>
      </c>
    </row>
    <row r="54" spans="1:18" x14ac:dyDescent="0.3">
      <c r="A54" s="3" t="s">
        <v>81</v>
      </c>
      <c r="B54">
        <v>61</v>
      </c>
      <c r="C54" t="s">
        <v>10</v>
      </c>
      <c r="D54" s="1">
        <v>44534</v>
      </c>
      <c r="E54" t="s">
        <v>15</v>
      </c>
      <c r="F54" s="9" t="str">
        <f t="shared" si="1"/>
        <v>5-25%</v>
      </c>
      <c r="G54" s="9" t="str">
        <f t="shared" si="1"/>
        <v>26-49%</v>
      </c>
      <c r="H54" s="9" t="str">
        <f t="shared" si="1"/>
        <v>26-49%</v>
      </c>
      <c r="I54" s="9" t="str">
        <f t="shared" si="1"/>
        <v>26-49%</v>
      </c>
      <c r="J54" s="9" t="str">
        <f t="shared" si="1"/>
        <v>26-49%</v>
      </c>
      <c r="K54">
        <v>2</v>
      </c>
      <c r="L54">
        <v>3</v>
      </c>
      <c r="M54">
        <v>3</v>
      </c>
      <c r="N54">
        <v>3</v>
      </c>
      <c r="O54">
        <v>3</v>
      </c>
      <c r="P54">
        <v>14</v>
      </c>
      <c r="Q54" t="str">
        <f>IF(P54=0,"normal",IF(AND(P54&gt;=1,P54&lt;=8),"mild",IF(AND(P54&gt;=9,P54&lt;=15),"moderate",IF(P54&gt;15,"severe",""))))</f>
        <v>moderate</v>
      </c>
      <c r="R54">
        <v>1261</v>
      </c>
    </row>
    <row r="55" spans="1:18" x14ac:dyDescent="0.3">
      <c r="A55" s="3" t="s">
        <v>82</v>
      </c>
      <c r="B55">
        <v>50</v>
      </c>
      <c r="C55" t="s">
        <v>10</v>
      </c>
      <c r="D55" s="1">
        <v>44375</v>
      </c>
      <c r="E55" t="s">
        <v>15</v>
      </c>
      <c r="F55" s="9" t="str">
        <f t="shared" si="1"/>
        <v>26-49%</v>
      </c>
      <c r="G55" s="9" t="str">
        <f t="shared" si="1"/>
        <v>5-25%</v>
      </c>
      <c r="H55" s="9" t="str">
        <f t="shared" si="1"/>
        <v>26-49%</v>
      </c>
      <c r="I55" s="9" t="str">
        <f t="shared" si="1"/>
        <v>26-49%</v>
      </c>
      <c r="J55" s="9" t="str">
        <f t="shared" si="1"/>
        <v>26-49%</v>
      </c>
      <c r="K55">
        <v>3</v>
      </c>
      <c r="L55">
        <v>2</v>
      </c>
      <c r="M55">
        <v>3</v>
      </c>
      <c r="N55">
        <v>3</v>
      </c>
      <c r="O55">
        <v>3</v>
      </c>
      <c r="P55">
        <v>14</v>
      </c>
      <c r="Q55" t="str">
        <f>IF(P55=0,"normal",IF(AND(P55&gt;=1,P55&lt;=8),"mild",IF(AND(P55&gt;=9,P55&lt;=15),"moderate",IF(P55&gt;15,"severe",""))))</f>
        <v>moderate</v>
      </c>
      <c r="R55">
        <v>1081</v>
      </c>
    </row>
    <row r="56" spans="1:18" x14ac:dyDescent="0.3">
      <c r="A56" s="3" t="s">
        <v>83</v>
      </c>
      <c r="B56">
        <v>68</v>
      </c>
      <c r="C56" t="s">
        <v>10</v>
      </c>
      <c r="D56" s="1">
        <v>44468</v>
      </c>
      <c r="E56" t="s">
        <v>15</v>
      </c>
      <c r="F56" s="9" t="str">
        <f t="shared" si="1"/>
        <v>&lt;5%</v>
      </c>
      <c r="G56" s="9" t="str">
        <f t="shared" si="1"/>
        <v>26-49%</v>
      </c>
      <c r="H56" s="9" t="str">
        <f t="shared" si="1"/>
        <v>26-49%</v>
      </c>
      <c r="I56" s="9" t="str">
        <f t="shared" si="1"/>
        <v>26-49%</v>
      </c>
      <c r="J56" s="9" t="str">
        <f t="shared" si="1"/>
        <v>50-75%</v>
      </c>
      <c r="K56">
        <v>1</v>
      </c>
      <c r="L56">
        <v>3</v>
      </c>
      <c r="M56">
        <v>3</v>
      </c>
      <c r="N56">
        <v>3</v>
      </c>
      <c r="O56">
        <v>4</v>
      </c>
      <c r="P56">
        <v>14</v>
      </c>
      <c r="Q56" t="str">
        <f>IF(P56=0,"normal",IF(AND(P56&gt;=1,P56&lt;=8),"mild",IF(AND(P56&gt;=9,P56&lt;=15),"moderate",IF(P56&gt;15,"severe",""))))</f>
        <v>moderate</v>
      </c>
      <c r="R56">
        <v>1101</v>
      </c>
    </row>
    <row r="57" spans="1:18" x14ac:dyDescent="0.3">
      <c r="A57" s="3" t="s">
        <v>84</v>
      </c>
      <c r="B57">
        <v>43</v>
      </c>
      <c r="C57" t="s">
        <v>14</v>
      </c>
      <c r="D57" s="1">
        <v>44361</v>
      </c>
      <c r="E57" t="s">
        <v>15</v>
      </c>
      <c r="F57" s="9" t="str">
        <f t="shared" si="1"/>
        <v>26-49%</v>
      </c>
      <c r="G57" s="9" t="str">
        <f t="shared" si="1"/>
        <v>5-25%</v>
      </c>
      <c r="H57" s="9" t="str">
        <f t="shared" si="1"/>
        <v>26-49%</v>
      </c>
      <c r="I57" s="9" t="str">
        <f t="shared" si="1"/>
        <v>26-49%</v>
      </c>
      <c r="J57" s="9" t="str">
        <f t="shared" si="1"/>
        <v>26-49%</v>
      </c>
      <c r="K57">
        <v>3</v>
      </c>
      <c r="L57">
        <v>2</v>
      </c>
      <c r="M57">
        <v>3</v>
      </c>
      <c r="N57">
        <v>3</v>
      </c>
      <c r="O57">
        <v>3</v>
      </c>
      <c r="P57">
        <v>14</v>
      </c>
      <c r="Q57" t="str">
        <f>IF(P57=0,"normal",IF(AND(P57&gt;=1,P57&lt;=8),"mild",IF(AND(P57&gt;=9,P57&lt;=15),"moderate",IF(P57&gt;15,"severe",""))))</f>
        <v>moderate</v>
      </c>
      <c r="R57">
        <v>1241</v>
      </c>
    </row>
    <row r="58" spans="1:18" x14ac:dyDescent="0.3">
      <c r="A58" s="3" t="s">
        <v>85</v>
      </c>
      <c r="B58">
        <v>69</v>
      </c>
      <c r="C58" t="s">
        <v>10</v>
      </c>
      <c r="D58" s="1">
        <v>44984</v>
      </c>
      <c r="E58" t="s">
        <v>15</v>
      </c>
      <c r="F58" s="9" t="str">
        <f t="shared" si="1"/>
        <v>5-25%</v>
      </c>
      <c r="G58" s="9" t="str">
        <f t="shared" si="1"/>
        <v>5-25%</v>
      </c>
      <c r="H58" s="9" t="str">
        <f t="shared" si="1"/>
        <v>50-75%</v>
      </c>
      <c r="I58" s="9" t="str">
        <f t="shared" si="1"/>
        <v>5-25%</v>
      </c>
      <c r="J58" s="9" t="str">
        <f t="shared" si="1"/>
        <v>50-75%</v>
      </c>
      <c r="K58">
        <v>2</v>
      </c>
      <c r="L58">
        <v>2</v>
      </c>
      <c r="M58">
        <v>4</v>
      </c>
      <c r="N58">
        <v>2</v>
      </c>
      <c r="O58">
        <v>4</v>
      </c>
      <c r="P58">
        <v>14</v>
      </c>
      <c r="Q58" t="str">
        <f>IF(P58=0,"normal",IF(AND(P58&gt;=1,P58&lt;=8),"mild",IF(AND(P58&gt;=9,P58&lt;=15),"moderate",IF(P58&gt;15,"severe",""))))</f>
        <v>moderate</v>
      </c>
      <c r="R58">
        <v>1221</v>
      </c>
    </row>
    <row r="59" spans="1:18" x14ac:dyDescent="0.3">
      <c r="A59" s="3" t="s">
        <v>86</v>
      </c>
      <c r="B59">
        <v>39</v>
      </c>
      <c r="C59" t="s">
        <v>10</v>
      </c>
      <c r="D59" s="1">
        <v>44454</v>
      </c>
      <c r="E59" t="s">
        <v>11</v>
      </c>
      <c r="F59" s="9" t="str">
        <f t="shared" si="1"/>
        <v>26-49%</v>
      </c>
      <c r="G59" s="9" t="str">
        <f t="shared" si="1"/>
        <v>5-25%</v>
      </c>
      <c r="H59" s="9" t="str">
        <f t="shared" si="1"/>
        <v>26-49%</v>
      </c>
      <c r="I59" s="9" t="str">
        <f t="shared" si="1"/>
        <v>26-49%</v>
      </c>
      <c r="J59" s="9" t="str">
        <f t="shared" si="1"/>
        <v>26-49%</v>
      </c>
      <c r="K59">
        <v>3</v>
      </c>
      <c r="L59">
        <v>2</v>
      </c>
      <c r="M59">
        <v>3</v>
      </c>
      <c r="N59">
        <v>3</v>
      </c>
      <c r="O59">
        <v>3</v>
      </c>
      <c r="P59">
        <v>14</v>
      </c>
      <c r="Q59" t="str">
        <f>IF(P59=0,"normal",IF(AND(P59&gt;=1,P59&lt;=8),"mild",IF(AND(P59&gt;=9,P59&lt;=15),"moderate",IF(P59&gt;15,"severe",""))))</f>
        <v>moderate</v>
      </c>
      <c r="R59">
        <v>1201</v>
      </c>
    </row>
    <row r="60" spans="1:18" x14ac:dyDescent="0.3">
      <c r="A60" s="3" t="s">
        <v>87</v>
      </c>
      <c r="B60">
        <v>65</v>
      </c>
      <c r="C60" t="s">
        <v>10</v>
      </c>
      <c r="D60" s="1">
        <v>44356</v>
      </c>
      <c r="E60" t="s">
        <v>15</v>
      </c>
      <c r="F60" s="9" t="str">
        <f t="shared" si="1"/>
        <v>&lt;5%</v>
      </c>
      <c r="G60" s="9" t="str">
        <f t="shared" si="1"/>
        <v>5-25%</v>
      </c>
      <c r="H60" s="9" t="str">
        <f t="shared" si="1"/>
        <v>50-75%</v>
      </c>
      <c r="I60" s="9" t="str">
        <f t="shared" si="1"/>
        <v>26-49%</v>
      </c>
      <c r="J60" s="9" t="str">
        <f t="shared" si="1"/>
        <v>50-75%</v>
      </c>
      <c r="K60">
        <v>1</v>
      </c>
      <c r="L60">
        <v>2</v>
      </c>
      <c r="M60">
        <v>4</v>
      </c>
      <c r="N60">
        <v>3</v>
      </c>
      <c r="O60">
        <v>4</v>
      </c>
      <c r="P60">
        <v>14</v>
      </c>
      <c r="Q60" t="str">
        <f>IF(P60=0,"normal",IF(AND(P60&gt;=1,P60&lt;=8),"mild",IF(AND(P60&gt;=9,P60&lt;=15),"moderate",IF(P60&gt;15,"severe",""))))</f>
        <v>moderate</v>
      </c>
      <c r="R60">
        <v>1201</v>
      </c>
    </row>
    <row r="61" spans="1:18" x14ac:dyDescent="0.3">
      <c r="A61" s="3" t="s">
        <v>88</v>
      </c>
      <c r="B61">
        <v>41</v>
      </c>
      <c r="C61" t="s">
        <v>10</v>
      </c>
      <c r="D61" s="1">
        <v>44308</v>
      </c>
      <c r="E61" t="s">
        <v>11</v>
      </c>
      <c r="F61" s="9" t="str">
        <f t="shared" si="1"/>
        <v>26-49%</v>
      </c>
      <c r="G61" s="9" t="str">
        <f t="shared" si="1"/>
        <v>5-25%</v>
      </c>
      <c r="H61" s="9" t="str">
        <f t="shared" si="1"/>
        <v>26-49%</v>
      </c>
      <c r="I61" s="9" t="str">
        <f t="shared" si="1"/>
        <v>26-49%</v>
      </c>
      <c r="J61" s="9" t="str">
        <f t="shared" si="1"/>
        <v>26-49%</v>
      </c>
      <c r="K61">
        <v>3</v>
      </c>
      <c r="L61">
        <v>2</v>
      </c>
      <c r="M61">
        <v>3</v>
      </c>
      <c r="N61">
        <v>3</v>
      </c>
      <c r="O61">
        <v>3</v>
      </c>
      <c r="P61">
        <v>14</v>
      </c>
      <c r="Q61" t="str">
        <f>IF(P61=0,"normal",IF(AND(P61&gt;=1,P61&lt;=8),"mild",IF(AND(P61&gt;=9,P61&lt;=15),"moderate",IF(P61&gt;15,"severe",""))))</f>
        <v>moderate</v>
      </c>
      <c r="R61">
        <v>1141</v>
      </c>
    </row>
    <row r="62" spans="1:18" x14ac:dyDescent="0.3">
      <c r="A62" s="3" t="s">
        <v>89</v>
      </c>
      <c r="B62">
        <v>65</v>
      </c>
      <c r="C62" t="s">
        <v>10</v>
      </c>
      <c r="D62" s="1">
        <v>44343</v>
      </c>
      <c r="E62" t="s">
        <v>15</v>
      </c>
      <c r="F62" s="9" t="str">
        <f t="shared" si="1"/>
        <v>26-49%</v>
      </c>
      <c r="G62" s="9" t="str">
        <f t="shared" si="1"/>
        <v>5-25%</v>
      </c>
      <c r="H62" s="9" t="str">
        <f t="shared" si="1"/>
        <v>26-49%</v>
      </c>
      <c r="I62" s="9" t="str">
        <f t="shared" si="1"/>
        <v>26-49%</v>
      </c>
      <c r="J62" s="9" t="str">
        <f t="shared" si="1"/>
        <v>26-49%</v>
      </c>
      <c r="K62">
        <v>3</v>
      </c>
      <c r="L62">
        <v>2</v>
      </c>
      <c r="M62">
        <v>3</v>
      </c>
      <c r="N62">
        <v>3</v>
      </c>
      <c r="O62">
        <v>3</v>
      </c>
      <c r="P62">
        <v>14</v>
      </c>
      <c r="Q62" t="str">
        <f>IF(P62=0,"normal",IF(AND(P62&gt;=1,P62&lt;=8),"mild",IF(AND(P62&gt;=9,P62&lt;=15),"moderate",IF(P62&gt;15,"severe",""))))</f>
        <v>moderate</v>
      </c>
      <c r="R62">
        <v>66</v>
      </c>
    </row>
    <row r="63" spans="1:18" x14ac:dyDescent="0.3">
      <c r="A63" s="3" t="s">
        <v>90</v>
      </c>
      <c r="B63">
        <v>75</v>
      </c>
      <c r="C63" t="s">
        <v>14</v>
      </c>
      <c r="D63" s="1">
        <v>44338</v>
      </c>
      <c r="E63" t="s">
        <v>15</v>
      </c>
      <c r="F63" s="9" t="str">
        <f t="shared" si="1"/>
        <v>26-49%</v>
      </c>
      <c r="G63" s="9" t="str">
        <f t="shared" si="1"/>
        <v>26-49%</v>
      </c>
      <c r="H63" s="9" t="str">
        <f t="shared" si="1"/>
        <v>26-49%</v>
      </c>
      <c r="I63" s="9" t="str">
        <f t="shared" si="1"/>
        <v>5-25%</v>
      </c>
      <c r="J63" s="9" t="str">
        <f t="shared" si="1"/>
        <v>26-49%</v>
      </c>
      <c r="K63">
        <v>3</v>
      </c>
      <c r="L63">
        <v>3</v>
      </c>
      <c r="M63">
        <v>3</v>
      </c>
      <c r="N63">
        <v>2</v>
      </c>
      <c r="O63">
        <v>3</v>
      </c>
      <c r="P63">
        <v>14</v>
      </c>
      <c r="Q63" t="str">
        <f>IF(P63=0,"normal",IF(AND(P63&gt;=1,P63&lt;=8),"mild",IF(AND(P63&gt;=9,P63&lt;=15),"moderate",IF(P63&gt;15,"severe",""))))</f>
        <v>moderate</v>
      </c>
      <c r="R63">
        <v>801</v>
      </c>
    </row>
    <row r="64" spans="1:18" x14ac:dyDescent="0.3">
      <c r="A64" s="3" t="s">
        <v>91</v>
      </c>
      <c r="B64">
        <v>71</v>
      </c>
      <c r="C64" t="s">
        <v>10</v>
      </c>
      <c r="D64" s="1">
        <v>44329</v>
      </c>
      <c r="E64" t="s">
        <v>22</v>
      </c>
      <c r="F64" s="9" t="str">
        <f t="shared" si="1"/>
        <v>26-49%</v>
      </c>
      <c r="G64" s="9" t="str">
        <f t="shared" si="1"/>
        <v>5-25%</v>
      </c>
      <c r="H64" s="9" t="str">
        <f t="shared" si="1"/>
        <v>26-49%</v>
      </c>
      <c r="I64" s="9" t="str">
        <f t="shared" si="1"/>
        <v>26-49%</v>
      </c>
      <c r="J64" s="9" t="str">
        <f t="shared" si="1"/>
        <v>26-49%</v>
      </c>
      <c r="K64">
        <v>3</v>
      </c>
      <c r="L64">
        <v>2</v>
      </c>
      <c r="M64">
        <v>3</v>
      </c>
      <c r="N64">
        <v>3</v>
      </c>
      <c r="O64">
        <v>3</v>
      </c>
      <c r="P64">
        <v>14</v>
      </c>
      <c r="Q64" t="str">
        <f>IF(P64=0,"normal",IF(AND(P64&gt;=1,P64&lt;=8),"mild",IF(AND(P64&gt;=9,P64&lt;=15),"moderate",IF(P64&gt;15,"severe",""))))</f>
        <v>moderate</v>
      </c>
      <c r="R64">
        <v>1181</v>
      </c>
    </row>
    <row r="65" spans="1:18" x14ac:dyDescent="0.3">
      <c r="A65" s="3" t="s">
        <v>92</v>
      </c>
      <c r="B65">
        <v>71</v>
      </c>
      <c r="C65" t="s">
        <v>10</v>
      </c>
      <c r="D65" s="1">
        <v>44261</v>
      </c>
      <c r="E65" t="s">
        <v>22</v>
      </c>
      <c r="F65" s="9" t="str">
        <f t="shared" si="1"/>
        <v>26-49%</v>
      </c>
      <c r="G65" s="9" t="str">
        <f t="shared" si="1"/>
        <v>5-25%</v>
      </c>
      <c r="H65" s="9" t="str">
        <f t="shared" si="1"/>
        <v>50-75%</v>
      </c>
      <c r="I65" s="9" t="str">
        <f t="shared" si="1"/>
        <v>5-25%</v>
      </c>
      <c r="J65" s="9" t="str">
        <f t="shared" si="1"/>
        <v>26-49%</v>
      </c>
      <c r="K65">
        <v>3</v>
      </c>
      <c r="L65">
        <v>2</v>
      </c>
      <c r="M65">
        <v>4</v>
      </c>
      <c r="N65">
        <v>2</v>
      </c>
      <c r="O65">
        <v>3</v>
      </c>
      <c r="P65">
        <v>14</v>
      </c>
      <c r="Q65" t="str">
        <f>IF(P65=0,"normal",IF(AND(P65&gt;=1,P65&lt;=8),"mild",IF(AND(P65&gt;=9,P65&lt;=15),"moderate",IF(P65&gt;15,"severe",""))))</f>
        <v>moderate</v>
      </c>
      <c r="R65">
        <v>981</v>
      </c>
    </row>
    <row r="66" spans="1:18" x14ac:dyDescent="0.3">
      <c r="A66" s="3" t="s">
        <v>93</v>
      </c>
      <c r="B66">
        <v>41</v>
      </c>
      <c r="C66" t="s">
        <v>14</v>
      </c>
      <c r="D66" s="1">
        <v>44469</v>
      </c>
      <c r="E66" t="s">
        <v>22</v>
      </c>
      <c r="F66" s="9" t="str">
        <f t="shared" si="1"/>
        <v>26-49%</v>
      </c>
      <c r="G66" s="9" t="str">
        <f t="shared" si="1"/>
        <v>26-49%</v>
      </c>
      <c r="H66" s="9" t="str">
        <f t="shared" si="1"/>
        <v>26-49%</v>
      </c>
      <c r="I66" s="9" t="str">
        <f t="shared" si="1"/>
        <v>5-25%</v>
      </c>
      <c r="J66" s="9" t="str">
        <f t="shared" si="1"/>
        <v>26-49%</v>
      </c>
      <c r="K66">
        <v>3</v>
      </c>
      <c r="L66">
        <v>3</v>
      </c>
      <c r="M66">
        <v>3</v>
      </c>
      <c r="N66">
        <v>2</v>
      </c>
      <c r="O66">
        <v>3</v>
      </c>
      <c r="P66">
        <v>14</v>
      </c>
      <c r="Q66" t="str">
        <f>IF(P66=0,"normal",IF(AND(P66&gt;=1,P66&lt;=8),"mild",IF(AND(P66&gt;=9,P66&lt;=15),"moderate",IF(P66&gt;15,"severe",""))))</f>
        <v>moderate</v>
      </c>
      <c r="R66">
        <v>1101</v>
      </c>
    </row>
    <row r="67" spans="1:18" x14ac:dyDescent="0.3">
      <c r="A67" s="3" t="s">
        <v>94</v>
      </c>
      <c r="B67">
        <v>65</v>
      </c>
      <c r="C67" t="s">
        <v>14</v>
      </c>
      <c r="D67" s="1">
        <v>44344</v>
      </c>
      <c r="E67" t="s">
        <v>15</v>
      </c>
      <c r="F67" s="9" t="str">
        <f t="shared" si="1"/>
        <v>26-49%</v>
      </c>
      <c r="G67" s="9" t="str">
        <f t="shared" si="1"/>
        <v>5-25%</v>
      </c>
      <c r="H67" s="9" t="str">
        <f t="shared" si="1"/>
        <v>26-49%</v>
      </c>
      <c r="I67" s="9" t="str">
        <f t="shared" si="1"/>
        <v>26-49%</v>
      </c>
      <c r="J67" s="9" t="str">
        <f t="shared" si="1"/>
        <v>26-49%</v>
      </c>
      <c r="K67">
        <v>3</v>
      </c>
      <c r="L67">
        <v>2</v>
      </c>
      <c r="M67">
        <v>3</v>
      </c>
      <c r="N67">
        <v>3</v>
      </c>
      <c r="O67">
        <v>3</v>
      </c>
      <c r="P67">
        <v>14</v>
      </c>
      <c r="Q67" t="str">
        <f>IF(P67=0,"normal",IF(AND(P67&gt;=1,P67&lt;=8),"mild",IF(AND(P67&gt;=9,P67&lt;=15),"moderate",IF(P67&gt;15,"severe",""))))</f>
        <v>moderate</v>
      </c>
      <c r="R67">
        <v>1061</v>
      </c>
    </row>
    <row r="68" spans="1:18" x14ac:dyDescent="0.3">
      <c r="A68" s="3" t="s">
        <v>95</v>
      </c>
      <c r="B68">
        <v>77</v>
      </c>
      <c r="C68" t="s">
        <v>14</v>
      </c>
      <c r="D68" s="1">
        <v>44202</v>
      </c>
      <c r="E68" t="s">
        <v>15</v>
      </c>
      <c r="F68" s="9" t="str">
        <f t="shared" si="1"/>
        <v>26-49%</v>
      </c>
      <c r="G68" s="9" t="str">
        <f t="shared" si="1"/>
        <v>26-49%</v>
      </c>
      <c r="H68" s="9" t="str">
        <f t="shared" si="1"/>
        <v>26-49%</v>
      </c>
      <c r="I68" s="9" t="str">
        <f t="shared" si="1"/>
        <v>5-25%</v>
      </c>
      <c r="J68" s="9" t="str">
        <f t="shared" si="1"/>
        <v>26-49%</v>
      </c>
      <c r="K68">
        <v>3</v>
      </c>
      <c r="L68">
        <v>3</v>
      </c>
      <c r="M68">
        <v>3</v>
      </c>
      <c r="N68">
        <v>2</v>
      </c>
      <c r="O68">
        <v>3</v>
      </c>
      <c r="P68">
        <v>14</v>
      </c>
      <c r="Q68" t="str">
        <f>IF(P68=0,"normal",IF(AND(P68&gt;=1,P68&lt;=8),"mild",IF(AND(P68&gt;=9,P68&lt;=15),"moderate",IF(P68&gt;15,"severe",""))))</f>
        <v>moderate</v>
      </c>
      <c r="R68">
        <v>921</v>
      </c>
    </row>
    <row r="69" spans="1:18" x14ac:dyDescent="0.3">
      <c r="A69" s="4" t="s">
        <v>96</v>
      </c>
      <c r="B69">
        <v>55</v>
      </c>
      <c r="C69" t="s">
        <v>14</v>
      </c>
      <c r="D69" s="1">
        <v>44506</v>
      </c>
      <c r="E69" t="s">
        <v>333</v>
      </c>
      <c r="K69">
        <v>3</v>
      </c>
      <c r="L69">
        <v>2</v>
      </c>
      <c r="M69">
        <v>3</v>
      </c>
      <c r="N69">
        <v>3</v>
      </c>
      <c r="O69">
        <v>3</v>
      </c>
      <c r="P69">
        <v>14</v>
      </c>
      <c r="Q69" t="str">
        <f>IF(P69=0,"normal",IF(AND(P69&gt;=1,P69&lt;=8),"mild",IF(AND(P69&gt;=9,P69&lt;=15),"moderate",IF(P69&gt;15,"severe",""))))</f>
        <v>moderate</v>
      </c>
      <c r="R69">
        <v>61</v>
      </c>
    </row>
    <row r="70" spans="1:18" x14ac:dyDescent="0.3">
      <c r="A70" s="3" t="s">
        <v>97</v>
      </c>
      <c r="B70">
        <v>45</v>
      </c>
      <c r="C70" t="s">
        <v>10</v>
      </c>
      <c r="D70" s="1">
        <v>44291</v>
      </c>
      <c r="E70" t="s">
        <v>11</v>
      </c>
      <c r="F70" t="s">
        <v>52</v>
      </c>
      <c r="G70" t="s">
        <v>52</v>
      </c>
      <c r="H70" t="s">
        <v>28</v>
      </c>
      <c r="I70" t="s">
        <v>52</v>
      </c>
      <c r="J70" t="s">
        <v>24</v>
      </c>
      <c r="K70">
        <v>2</v>
      </c>
      <c r="L70">
        <v>2</v>
      </c>
      <c r="M70">
        <v>3</v>
      </c>
      <c r="N70">
        <v>2</v>
      </c>
      <c r="O70">
        <v>4</v>
      </c>
      <c r="P70">
        <v>13</v>
      </c>
      <c r="Q70" t="str">
        <f>IF(P70=0,"normal",IF(AND(P70&gt;=1,P70&lt;=8),"mild",IF(AND(P70&gt;=9,P70&lt;=15),"moderate",IF(P70&gt;15,"severe",""))))</f>
        <v>moderate</v>
      </c>
      <c r="R70">
        <v>1161</v>
      </c>
    </row>
    <row r="71" spans="1:18" x14ac:dyDescent="0.3">
      <c r="A71" s="3" t="s">
        <v>98</v>
      </c>
      <c r="B71">
        <v>46</v>
      </c>
      <c r="C71" t="s">
        <v>14</v>
      </c>
      <c r="D71" s="1">
        <v>44504</v>
      </c>
      <c r="E71" t="s">
        <v>11</v>
      </c>
      <c r="F71" t="s">
        <v>28</v>
      </c>
      <c r="G71" t="s">
        <v>52</v>
      </c>
      <c r="H71" t="s">
        <v>28</v>
      </c>
      <c r="I71" t="s">
        <v>52</v>
      </c>
      <c r="J71" t="s">
        <v>28</v>
      </c>
      <c r="K71">
        <v>3</v>
      </c>
      <c r="L71">
        <v>2</v>
      </c>
      <c r="M71">
        <v>3</v>
      </c>
      <c r="N71">
        <v>2</v>
      </c>
      <c r="O71">
        <v>3</v>
      </c>
      <c r="P71">
        <v>13</v>
      </c>
      <c r="Q71" t="str">
        <f>IF(P71=0,"normal",IF(AND(P71&gt;=1,P71&lt;=8),"mild",IF(AND(P71&gt;=9,P71&lt;=15),"moderate",IF(P71&gt;15,"severe",""))))</f>
        <v>moderate</v>
      </c>
      <c r="R71">
        <v>1221</v>
      </c>
    </row>
    <row r="72" spans="1:18" x14ac:dyDescent="0.3">
      <c r="A72" s="3" t="s">
        <v>99</v>
      </c>
      <c r="B72">
        <v>78</v>
      </c>
      <c r="C72" t="s">
        <v>14</v>
      </c>
      <c r="D72" s="1">
        <v>44308</v>
      </c>
      <c r="E72" t="s">
        <v>22</v>
      </c>
      <c r="F72" t="s">
        <v>28</v>
      </c>
      <c r="G72" t="s">
        <v>28</v>
      </c>
      <c r="H72" t="s">
        <v>28</v>
      </c>
      <c r="I72" t="s">
        <v>52</v>
      </c>
      <c r="J72" t="s">
        <v>52</v>
      </c>
      <c r="K72">
        <v>3</v>
      </c>
      <c r="L72">
        <v>3</v>
      </c>
      <c r="M72">
        <v>3</v>
      </c>
      <c r="N72">
        <v>2</v>
      </c>
      <c r="O72">
        <v>2</v>
      </c>
      <c r="P72">
        <v>13</v>
      </c>
      <c r="Q72" t="str">
        <f>IF(P72=0,"normal",IF(AND(P72&gt;=1,P72&lt;=8),"mild",IF(AND(P72&gt;=9,P72&lt;=15),"moderate",IF(P72&gt;15,"severe",""))))</f>
        <v>moderate</v>
      </c>
      <c r="R72">
        <v>981</v>
      </c>
    </row>
    <row r="73" spans="1:18" x14ac:dyDescent="0.3">
      <c r="A73" s="3" t="s">
        <v>100</v>
      </c>
      <c r="B73">
        <v>76</v>
      </c>
      <c r="C73" t="s">
        <v>10</v>
      </c>
      <c r="D73" s="1">
        <v>44356</v>
      </c>
      <c r="E73" t="s">
        <v>15</v>
      </c>
      <c r="F73" t="s">
        <v>28</v>
      </c>
      <c r="G73" t="s">
        <v>52</v>
      </c>
      <c r="H73" t="s">
        <v>28</v>
      </c>
      <c r="I73" t="s">
        <v>52</v>
      </c>
      <c r="J73" t="s">
        <v>28</v>
      </c>
      <c r="K73">
        <v>3</v>
      </c>
      <c r="L73">
        <v>2</v>
      </c>
      <c r="M73">
        <v>3</v>
      </c>
      <c r="N73">
        <v>2</v>
      </c>
      <c r="O73">
        <v>3</v>
      </c>
      <c r="P73">
        <v>13</v>
      </c>
      <c r="Q73" t="str">
        <f>IF(P73=0,"normal",IF(AND(P73&gt;=1,P73&lt;=8),"mild",IF(AND(P73&gt;=9,P73&lt;=15),"moderate",IF(P73&gt;15,"severe",""))))</f>
        <v>moderate</v>
      </c>
      <c r="R73">
        <v>1201</v>
      </c>
    </row>
    <row r="74" spans="1:18" x14ac:dyDescent="0.3">
      <c r="A74" s="3" t="s">
        <v>101</v>
      </c>
      <c r="B74">
        <v>76</v>
      </c>
      <c r="C74" t="s">
        <v>10</v>
      </c>
      <c r="D74" s="1">
        <v>44306</v>
      </c>
      <c r="E74" t="s">
        <v>15</v>
      </c>
      <c r="F74" t="s">
        <v>28</v>
      </c>
      <c r="G74" t="s">
        <v>28</v>
      </c>
      <c r="H74" t="s">
        <v>52</v>
      </c>
      <c r="I74" t="s">
        <v>52</v>
      </c>
      <c r="J74" t="s">
        <v>28</v>
      </c>
      <c r="K74">
        <v>3</v>
      </c>
      <c r="L74">
        <v>3</v>
      </c>
      <c r="M74">
        <v>2</v>
      </c>
      <c r="N74">
        <v>2</v>
      </c>
      <c r="O74">
        <v>3</v>
      </c>
      <c r="P74">
        <v>13</v>
      </c>
      <c r="Q74" t="str">
        <f>IF(P74=0,"normal",IF(AND(P74&gt;=1,P74&lt;=8),"mild",IF(AND(P74&gt;=9,P74&lt;=15),"moderate",IF(P74&gt;15,"severe",""))))</f>
        <v>moderate</v>
      </c>
      <c r="R74">
        <v>1101</v>
      </c>
    </row>
    <row r="75" spans="1:18" x14ac:dyDescent="0.3">
      <c r="A75" s="3" t="s">
        <v>102</v>
      </c>
      <c r="B75">
        <v>48</v>
      </c>
      <c r="C75" t="s">
        <v>14</v>
      </c>
      <c r="D75" s="1">
        <v>44203</v>
      </c>
      <c r="E75" t="s">
        <v>22</v>
      </c>
      <c r="F75" t="s">
        <v>28</v>
      </c>
      <c r="G75" t="s">
        <v>52</v>
      </c>
      <c r="H75" t="s">
        <v>24</v>
      </c>
      <c r="I75" t="s">
        <v>52</v>
      </c>
      <c r="J75" t="s">
        <v>52</v>
      </c>
      <c r="K75">
        <v>3</v>
      </c>
      <c r="L75">
        <v>2</v>
      </c>
      <c r="M75">
        <v>4</v>
      </c>
      <c r="N75">
        <v>2</v>
      </c>
      <c r="O75">
        <v>2</v>
      </c>
      <c r="P75">
        <v>13</v>
      </c>
      <c r="Q75" t="str">
        <f>IF(P75=0,"normal",IF(AND(P75&gt;=1,P75&lt;=8),"mild",IF(AND(P75&gt;=9,P75&lt;=15),"moderate",IF(P75&gt;15,"severe",""))))</f>
        <v>moderate</v>
      </c>
      <c r="R75">
        <v>1021</v>
      </c>
    </row>
    <row r="76" spans="1:18" x14ac:dyDescent="0.3">
      <c r="A76" s="3" t="s">
        <v>103</v>
      </c>
      <c r="B76">
        <v>65</v>
      </c>
      <c r="C76" t="s">
        <v>10</v>
      </c>
      <c r="D76" s="1">
        <v>44222</v>
      </c>
      <c r="E76" t="s">
        <v>15</v>
      </c>
      <c r="F76" t="s">
        <v>28</v>
      </c>
      <c r="G76" t="s">
        <v>52</v>
      </c>
      <c r="H76" t="s">
        <v>52</v>
      </c>
      <c r="I76" t="s">
        <v>28</v>
      </c>
      <c r="J76" t="s">
        <v>28</v>
      </c>
      <c r="K76">
        <v>3</v>
      </c>
      <c r="L76">
        <v>2</v>
      </c>
      <c r="M76">
        <v>2</v>
      </c>
      <c r="N76">
        <v>3</v>
      </c>
      <c r="O76">
        <v>3</v>
      </c>
      <c r="P76">
        <v>13</v>
      </c>
      <c r="Q76" t="str">
        <f>IF(P76=0,"normal",IF(AND(P76&gt;=1,P76&lt;=8),"mild",IF(AND(P76&gt;=9,P76&lt;=15),"moderate",IF(P76&gt;15,"severe",""))))</f>
        <v>moderate</v>
      </c>
      <c r="R76">
        <v>1221</v>
      </c>
    </row>
    <row r="77" spans="1:18" x14ac:dyDescent="0.3">
      <c r="A77" s="3" t="s">
        <v>104</v>
      </c>
      <c r="B77">
        <v>59</v>
      </c>
      <c r="C77" t="s">
        <v>14</v>
      </c>
      <c r="D77" s="1">
        <v>44505</v>
      </c>
      <c r="E77" t="s">
        <v>15</v>
      </c>
      <c r="F77" t="s">
        <v>52</v>
      </c>
      <c r="G77" t="s">
        <v>28</v>
      </c>
      <c r="H77" t="s">
        <v>28</v>
      </c>
      <c r="I77" t="s">
        <v>52</v>
      </c>
      <c r="J77" t="s">
        <v>28</v>
      </c>
      <c r="K77">
        <v>2</v>
      </c>
      <c r="L77">
        <v>3</v>
      </c>
      <c r="M77">
        <v>3</v>
      </c>
      <c r="N77">
        <v>2</v>
      </c>
      <c r="O77">
        <v>3</v>
      </c>
      <c r="P77">
        <v>13</v>
      </c>
      <c r="Q77" t="str">
        <f>IF(P77=0,"normal",IF(AND(P77&gt;=1,P77&lt;=8),"mild",IF(AND(P77&gt;=9,P77&lt;=15),"moderate",IF(P77&gt;15,"severe",""))))</f>
        <v>moderate</v>
      </c>
      <c r="R77">
        <v>921</v>
      </c>
    </row>
    <row r="78" spans="1:18" x14ac:dyDescent="0.3">
      <c r="A78" s="3" t="s">
        <v>105</v>
      </c>
      <c r="B78">
        <v>60</v>
      </c>
      <c r="C78" t="s">
        <v>10</v>
      </c>
      <c r="D78" s="1">
        <v>44339</v>
      </c>
      <c r="E78" t="s">
        <v>11</v>
      </c>
      <c r="F78" t="s">
        <v>77</v>
      </c>
      <c r="G78" t="s">
        <v>52</v>
      </c>
      <c r="H78" t="s">
        <v>24</v>
      </c>
      <c r="I78" t="s">
        <v>52</v>
      </c>
      <c r="J78" t="s">
        <v>24</v>
      </c>
      <c r="K78">
        <v>1</v>
      </c>
      <c r="L78">
        <v>2</v>
      </c>
      <c r="M78">
        <v>4</v>
      </c>
      <c r="N78">
        <v>2</v>
      </c>
      <c r="O78">
        <v>4</v>
      </c>
      <c r="P78">
        <v>13</v>
      </c>
      <c r="Q78" t="str">
        <f>IF(P78=0,"normal",IF(AND(P78&gt;=1,P78&lt;=8),"mild",IF(AND(P78&gt;=9,P78&lt;=15),"moderate",IF(P78&gt;15,"severe",""))))</f>
        <v>moderate</v>
      </c>
      <c r="R78">
        <v>1361</v>
      </c>
    </row>
    <row r="79" spans="1:18" x14ac:dyDescent="0.3">
      <c r="A79" s="3" t="s">
        <v>106</v>
      </c>
      <c r="B79">
        <v>38</v>
      </c>
      <c r="C79" t="s">
        <v>10</v>
      </c>
      <c r="D79" s="1">
        <v>44383</v>
      </c>
      <c r="E79" t="s">
        <v>11</v>
      </c>
      <c r="F79" t="s">
        <v>52</v>
      </c>
      <c r="G79" t="s">
        <v>52</v>
      </c>
      <c r="H79" t="s">
        <v>28</v>
      </c>
      <c r="I79" t="s">
        <v>28</v>
      </c>
      <c r="J79" t="s">
        <v>28</v>
      </c>
      <c r="K79">
        <v>2</v>
      </c>
      <c r="L79">
        <v>2</v>
      </c>
      <c r="M79">
        <v>3</v>
      </c>
      <c r="N79">
        <v>3</v>
      </c>
      <c r="O79">
        <v>3</v>
      </c>
      <c r="P79">
        <v>13</v>
      </c>
      <c r="Q79" t="str">
        <f>IF(P79=0,"normal",IF(AND(P79&gt;=1,P79&lt;=8),"mild",IF(AND(P79&gt;=9,P79&lt;=15),"moderate",IF(P79&gt;15,"severe",""))))</f>
        <v>moderate</v>
      </c>
      <c r="R79">
        <v>1021</v>
      </c>
    </row>
    <row r="80" spans="1:18" x14ac:dyDescent="0.3">
      <c r="A80" s="3" t="s">
        <v>107</v>
      </c>
      <c r="B80">
        <v>65</v>
      </c>
      <c r="C80" t="s">
        <v>14</v>
      </c>
      <c r="D80" s="1">
        <v>44511</v>
      </c>
      <c r="E80" t="s">
        <v>22</v>
      </c>
      <c r="F80" t="s">
        <v>28</v>
      </c>
      <c r="G80" t="s">
        <v>52</v>
      </c>
      <c r="H80" t="s">
        <v>24</v>
      </c>
      <c r="I80" t="s">
        <v>52</v>
      </c>
      <c r="J80" t="s">
        <v>52</v>
      </c>
      <c r="K80">
        <v>3</v>
      </c>
      <c r="L80">
        <v>2</v>
      </c>
      <c r="M80">
        <v>4</v>
      </c>
      <c r="N80">
        <v>2</v>
      </c>
      <c r="O80">
        <v>2</v>
      </c>
      <c r="P80">
        <v>13</v>
      </c>
      <c r="Q80" t="str">
        <f>IF(P80=0,"normal",IF(AND(P80&gt;=1,P80&lt;=8),"mild",IF(AND(P80&gt;=9,P80&lt;=15),"moderate",IF(P80&gt;15,"severe",""))))</f>
        <v>moderate</v>
      </c>
      <c r="R80">
        <v>1161</v>
      </c>
    </row>
    <row r="81" spans="1:18" x14ac:dyDescent="0.3">
      <c r="A81" s="3" t="s">
        <v>108</v>
      </c>
      <c r="B81">
        <v>55</v>
      </c>
      <c r="C81" t="s">
        <v>14</v>
      </c>
      <c r="D81" s="1">
        <v>44391</v>
      </c>
      <c r="E81" t="s">
        <v>15</v>
      </c>
      <c r="F81" t="s">
        <v>28</v>
      </c>
      <c r="G81" t="s">
        <v>52</v>
      </c>
      <c r="H81" t="s">
        <v>28</v>
      </c>
      <c r="I81" t="s">
        <v>52</v>
      </c>
      <c r="J81" t="s">
        <v>28</v>
      </c>
      <c r="K81">
        <v>3</v>
      </c>
      <c r="L81">
        <v>2</v>
      </c>
      <c r="M81">
        <v>3</v>
      </c>
      <c r="N81">
        <v>2</v>
      </c>
      <c r="O81">
        <v>3</v>
      </c>
      <c r="P81">
        <v>13</v>
      </c>
      <c r="Q81" t="str">
        <f>IF(P81=0,"normal",IF(AND(P81&gt;=1,P81&lt;=8),"mild",IF(AND(P81&gt;=9,P81&lt;=15),"moderate",IF(P81&gt;15,"severe",""))))</f>
        <v>moderate</v>
      </c>
      <c r="R81">
        <v>901</v>
      </c>
    </row>
    <row r="82" spans="1:18" x14ac:dyDescent="0.3">
      <c r="A82" s="3" t="s">
        <v>109</v>
      </c>
      <c r="B82">
        <v>48</v>
      </c>
      <c r="C82" t="s">
        <v>10</v>
      </c>
      <c r="D82" s="1">
        <v>44453</v>
      </c>
      <c r="E82" t="s">
        <v>15</v>
      </c>
      <c r="F82" t="s">
        <v>28</v>
      </c>
      <c r="G82" t="s">
        <v>52</v>
      </c>
      <c r="H82" t="s">
        <v>28</v>
      </c>
      <c r="I82" t="s">
        <v>52</v>
      </c>
      <c r="J82" t="s">
        <v>28</v>
      </c>
      <c r="K82">
        <v>3</v>
      </c>
      <c r="L82">
        <v>2</v>
      </c>
      <c r="M82">
        <v>3</v>
      </c>
      <c r="N82">
        <v>2</v>
      </c>
      <c r="O82">
        <v>3</v>
      </c>
      <c r="P82">
        <v>13</v>
      </c>
      <c r="Q82" t="str">
        <f>IF(P82=0,"normal",IF(AND(P82&gt;=1,P82&lt;=8),"mild",IF(AND(P82&gt;=9,P82&lt;=15),"moderate",IF(P82&gt;15,"severe",""))))</f>
        <v>moderate</v>
      </c>
      <c r="R82">
        <v>1141</v>
      </c>
    </row>
    <row r="83" spans="1:18" x14ac:dyDescent="0.3">
      <c r="A83" s="3" t="s">
        <v>110</v>
      </c>
      <c r="B83">
        <v>51</v>
      </c>
      <c r="C83" t="s">
        <v>10</v>
      </c>
      <c r="D83" s="1">
        <v>44456</v>
      </c>
      <c r="E83" t="s">
        <v>22</v>
      </c>
      <c r="F83" t="s">
        <v>52</v>
      </c>
      <c r="G83" t="s">
        <v>28</v>
      </c>
      <c r="H83" t="s">
        <v>52</v>
      </c>
      <c r="I83" t="s">
        <v>28</v>
      </c>
      <c r="J83" t="s">
        <v>28</v>
      </c>
      <c r="K83">
        <v>2</v>
      </c>
      <c r="L83">
        <v>3</v>
      </c>
      <c r="M83">
        <v>2</v>
      </c>
      <c r="N83">
        <v>3</v>
      </c>
      <c r="O83">
        <v>3</v>
      </c>
      <c r="P83">
        <v>13</v>
      </c>
      <c r="Q83" t="str">
        <f>IF(P83=0,"normal",IF(AND(P83&gt;=1,P83&lt;=8),"mild",IF(AND(P83&gt;=9,P83&lt;=15),"moderate",IF(P83&gt;15,"severe",""))))</f>
        <v>moderate</v>
      </c>
      <c r="R83">
        <v>1201</v>
      </c>
    </row>
    <row r="84" spans="1:18" x14ac:dyDescent="0.3">
      <c r="A84" s="3" t="s">
        <v>111</v>
      </c>
      <c r="B84">
        <v>28</v>
      </c>
      <c r="C84" t="s">
        <v>10</v>
      </c>
      <c r="D84" s="1">
        <v>44429</v>
      </c>
      <c r="E84" t="s">
        <v>22</v>
      </c>
      <c r="F84" t="s">
        <v>52</v>
      </c>
      <c r="G84" t="s">
        <v>28</v>
      </c>
      <c r="H84" t="s">
        <v>24</v>
      </c>
      <c r="I84" t="s">
        <v>52</v>
      </c>
      <c r="J84" t="s">
        <v>52</v>
      </c>
      <c r="K84">
        <v>2</v>
      </c>
      <c r="L84">
        <v>3</v>
      </c>
      <c r="M84">
        <v>4</v>
      </c>
      <c r="N84">
        <v>2</v>
      </c>
      <c r="O84">
        <v>2</v>
      </c>
      <c r="P84">
        <v>13</v>
      </c>
      <c r="Q84" t="str">
        <f>IF(P84=0,"normal",IF(AND(P84&gt;=1,P84&lt;=8),"mild",IF(AND(P84&gt;=9,P84&lt;=15),"moderate",IF(P84&gt;15,"severe",""))))</f>
        <v>moderate</v>
      </c>
      <c r="R84">
        <v>1381</v>
      </c>
    </row>
    <row r="85" spans="1:18" x14ac:dyDescent="0.3">
      <c r="A85" s="3" t="s">
        <v>113</v>
      </c>
      <c r="B85">
        <v>34</v>
      </c>
      <c r="C85" t="s">
        <v>10</v>
      </c>
      <c r="D85" s="1">
        <v>44264</v>
      </c>
      <c r="E85" t="s">
        <v>22</v>
      </c>
      <c r="F85" t="s">
        <v>52</v>
      </c>
      <c r="G85" t="s">
        <v>28</v>
      </c>
      <c r="H85" t="s">
        <v>28</v>
      </c>
      <c r="I85" t="s">
        <v>52</v>
      </c>
      <c r="J85" t="s">
        <v>28</v>
      </c>
      <c r="K85">
        <v>2</v>
      </c>
      <c r="L85">
        <v>3</v>
      </c>
      <c r="M85">
        <v>3</v>
      </c>
      <c r="N85">
        <v>2</v>
      </c>
      <c r="O85">
        <v>3</v>
      </c>
      <c r="P85">
        <v>13</v>
      </c>
      <c r="Q85" t="str">
        <f>IF(P85=0,"normal",IF(AND(P85&gt;=1,P85&lt;=8),"mild",IF(AND(P85&gt;=9,P85&lt;=15),"moderate",IF(P85&gt;15,"severe",""))))</f>
        <v>moderate</v>
      </c>
      <c r="R85">
        <v>1541</v>
      </c>
    </row>
    <row r="86" spans="1:18" x14ac:dyDescent="0.3">
      <c r="A86" s="3" t="s">
        <v>114</v>
      </c>
      <c r="B86">
        <v>56</v>
      </c>
      <c r="C86" t="s">
        <v>14</v>
      </c>
      <c r="D86" s="1">
        <v>44278</v>
      </c>
      <c r="E86" t="s">
        <v>15</v>
      </c>
      <c r="F86" t="s">
        <v>52</v>
      </c>
      <c r="G86" t="s">
        <v>28</v>
      </c>
      <c r="H86" t="s">
        <v>28</v>
      </c>
      <c r="I86" t="s">
        <v>52</v>
      </c>
      <c r="J86" t="s">
        <v>28</v>
      </c>
      <c r="K86">
        <v>2</v>
      </c>
      <c r="L86">
        <v>3</v>
      </c>
      <c r="M86">
        <v>3</v>
      </c>
      <c r="N86">
        <v>2</v>
      </c>
      <c r="O86">
        <v>3</v>
      </c>
      <c r="P86">
        <v>13</v>
      </c>
      <c r="Q86" t="str">
        <f>IF(P86=0,"normal",IF(AND(P86&gt;=1,P86&lt;=8),"mild",IF(AND(P86&gt;=9,P86&lt;=15),"moderate",IF(P86&gt;15,"severe",""))))</f>
        <v>moderate</v>
      </c>
      <c r="R86">
        <v>1141</v>
      </c>
    </row>
    <row r="87" spans="1:18" x14ac:dyDescent="0.3">
      <c r="A87" s="4" t="s">
        <v>115</v>
      </c>
      <c r="B87">
        <v>58</v>
      </c>
      <c r="C87" t="s">
        <v>10</v>
      </c>
      <c r="D87" s="1">
        <v>44414</v>
      </c>
      <c r="E87" t="s">
        <v>335</v>
      </c>
      <c r="F87" t="str">
        <f>IF(K87=0,"0%",IF(K87=1,"&lt;5%",IF(K87=2,"5-25%",IF(K87=3,"26-49%",IF(K87=4,"50-75%",IF(K87=5,"&gt;75%"))))))</f>
        <v>5-25%</v>
      </c>
      <c r="G87" t="str">
        <f t="shared" ref="G87:J88" si="2">IF(L87=0,"0%",IF(L87=1,"&lt;5%",IF(L87=2,"5-25%",IF(L87=3,"26-49%",IF(L87=4,"50-75%",IF(L87=5,"&gt;75%"))))))</f>
        <v>5-25%</v>
      </c>
      <c r="H87" t="str">
        <f t="shared" si="2"/>
        <v>50-75%</v>
      </c>
      <c r="I87" t="str">
        <f t="shared" si="2"/>
        <v>5-25%</v>
      </c>
      <c r="J87" t="str">
        <f t="shared" si="2"/>
        <v>26-49%</v>
      </c>
      <c r="K87">
        <v>2</v>
      </c>
      <c r="L87">
        <v>2</v>
      </c>
      <c r="M87">
        <v>4</v>
      </c>
      <c r="N87">
        <v>2</v>
      </c>
      <c r="O87">
        <v>3</v>
      </c>
      <c r="P87">
        <v>13</v>
      </c>
      <c r="Q87" t="str">
        <f>IF(P87=0,"normal",IF(AND(P87&gt;=1,P87&lt;=8),"mild",IF(AND(P87&gt;=9,P87&lt;=15),"moderate",IF(P87&gt;15,"severe",""))))</f>
        <v>moderate</v>
      </c>
      <c r="R87">
        <v>66</v>
      </c>
    </row>
    <row r="88" spans="1:18" x14ac:dyDescent="0.3">
      <c r="A88" s="4" t="s">
        <v>116</v>
      </c>
      <c r="B88">
        <v>35</v>
      </c>
      <c r="C88" t="s">
        <v>14</v>
      </c>
      <c r="D88" s="1">
        <v>44414</v>
      </c>
      <c r="E88" t="s">
        <v>335</v>
      </c>
      <c r="F88" t="str">
        <f t="shared" ref="F88" si="3">IF(K88=0,"0%",IF(K88=1,"&lt;5%",IF(K88=2,"5-25%",IF(K88=3,"26-49%",IF(K88=4,"50-75%",IF(K88=5,"&gt;75%"))))))</f>
        <v>5-25%</v>
      </c>
      <c r="G88" t="str">
        <f t="shared" si="2"/>
        <v>5-25%</v>
      </c>
      <c r="H88" t="str">
        <f t="shared" si="2"/>
        <v>26-49%</v>
      </c>
      <c r="I88" t="str">
        <f t="shared" si="2"/>
        <v>26-49%</v>
      </c>
      <c r="J88" t="str">
        <f t="shared" si="2"/>
        <v>26-49%</v>
      </c>
      <c r="K88">
        <v>2</v>
      </c>
      <c r="L88">
        <v>2</v>
      </c>
      <c r="M88">
        <v>3</v>
      </c>
      <c r="N88">
        <v>3</v>
      </c>
      <c r="O88">
        <v>3</v>
      </c>
      <c r="P88">
        <v>13</v>
      </c>
      <c r="Q88" t="str">
        <f>IF(P88=0,"normal",IF(AND(P88&gt;=1,P88&lt;=8),"mild",IF(AND(P88&gt;=9,P88&lt;=15),"moderate",IF(P88&gt;15,"severe",""))))</f>
        <v>moderate</v>
      </c>
      <c r="R88">
        <v>61</v>
      </c>
    </row>
    <row r="89" spans="1:18" x14ac:dyDescent="0.3">
      <c r="A89" s="3" t="s">
        <v>117</v>
      </c>
      <c r="B89">
        <v>70</v>
      </c>
      <c r="C89" t="s">
        <v>10</v>
      </c>
      <c r="D89" s="1">
        <v>44399</v>
      </c>
      <c r="E89" t="s">
        <v>11</v>
      </c>
      <c r="F89" t="s">
        <v>52</v>
      </c>
      <c r="G89" t="s">
        <v>52</v>
      </c>
      <c r="H89" t="s">
        <v>28</v>
      </c>
      <c r="I89" t="s">
        <v>52</v>
      </c>
      <c r="J89" t="s">
        <v>28</v>
      </c>
      <c r="K89">
        <v>2</v>
      </c>
      <c r="L89">
        <v>2</v>
      </c>
      <c r="M89">
        <v>3</v>
      </c>
      <c r="N89">
        <v>2</v>
      </c>
      <c r="O89">
        <v>3</v>
      </c>
      <c r="P89">
        <v>12</v>
      </c>
      <c r="Q89" t="str">
        <f>IF(P89=0,"normal",IF(AND(P89&gt;=1,P89&lt;=8),"mild",IF(AND(P89&gt;=9,P89&lt;=15),"moderate",IF(P89&gt;15,"severe",""))))</f>
        <v>moderate</v>
      </c>
      <c r="R89">
        <v>1281</v>
      </c>
    </row>
    <row r="90" spans="1:18" x14ac:dyDescent="0.3">
      <c r="A90" s="3" t="s">
        <v>118</v>
      </c>
      <c r="B90">
        <v>53</v>
      </c>
      <c r="C90" t="s">
        <v>14</v>
      </c>
      <c r="D90" s="1">
        <v>44373</v>
      </c>
      <c r="E90" t="s">
        <v>11</v>
      </c>
      <c r="F90" t="s">
        <v>52</v>
      </c>
      <c r="G90" t="s">
        <v>52</v>
      </c>
      <c r="H90" t="s">
        <v>28</v>
      </c>
      <c r="I90" t="s">
        <v>52</v>
      </c>
      <c r="J90" t="s">
        <v>28</v>
      </c>
      <c r="K90">
        <v>2</v>
      </c>
      <c r="L90">
        <v>2</v>
      </c>
      <c r="M90">
        <v>3</v>
      </c>
      <c r="N90">
        <v>2</v>
      </c>
      <c r="O90">
        <v>3</v>
      </c>
      <c r="P90">
        <v>12</v>
      </c>
      <c r="Q90" t="str">
        <f>IF(P90=0,"normal",IF(AND(P90&gt;=1,P90&lt;=8),"mild",IF(AND(P90&gt;=9,P90&lt;=15),"moderate",IF(P90&gt;15,"severe",""))))</f>
        <v>moderate</v>
      </c>
      <c r="R90">
        <v>1121</v>
      </c>
    </row>
    <row r="91" spans="1:18" x14ac:dyDescent="0.3">
      <c r="A91" s="3" t="s">
        <v>119</v>
      </c>
      <c r="B91">
        <v>50</v>
      </c>
      <c r="C91" t="s">
        <v>10</v>
      </c>
      <c r="D91" s="1">
        <v>44396</v>
      </c>
      <c r="E91" t="s">
        <v>11</v>
      </c>
      <c r="F91" t="s">
        <v>52</v>
      </c>
      <c r="G91" t="s">
        <v>52</v>
      </c>
      <c r="H91" t="s">
        <v>28</v>
      </c>
      <c r="I91" t="s">
        <v>52</v>
      </c>
      <c r="J91" t="s">
        <v>28</v>
      </c>
      <c r="K91">
        <v>2</v>
      </c>
      <c r="L91">
        <v>2</v>
      </c>
      <c r="M91">
        <v>3</v>
      </c>
      <c r="N91">
        <v>2</v>
      </c>
      <c r="O91">
        <v>3</v>
      </c>
      <c r="P91">
        <v>12</v>
      </c>
      <c r="Q91" t="str">
        <f>IF(P91=0,"normal",IF(AND(P91&gt;=1,P91&lt;=8),"mild",IF(AND(P91&gt;=9,P91&lt;=15),"moderate",IF(P91&gt;15,"severe",""))))</f>
        <v>moderate</v>
      </c>
      <c r="R91">
        <v>1001</v>
      </c>
    </row>
    <row r="92" spans="1:18" x14ac:dyDescent="0.3">
      <c r="A92" s="3" t="s">
        <v>120</v>
      </c>
      <c r="B92">
        <v>56</v>
      </c>
      <c r="C92" t="s">
        <v>10</v>
      </c>
      <c r="D92" s="1">
        <v>44403</v>
      </c>
      <c r="E92" t="s">
        <v>15</v>
      </c>
      <c r="F92" t="s">
        <v>52</v>
      </c>
      <c r="G92" t="s">
        <v>28</v>
      </c>
      <c r="H92" t="s">
        <v>52</v>
      </c>
      <c r="I92" t="s">
        <v>52</v>
      </c>
      <c r="J92" t="s">
        <v>28</v>
      </c>
      <c r="K92">
        <v>2</v>
      </c>
      <c r="L92">
        <v>3</v>
      </c>
      <c r="M92">
        <v>2</v>
      </c>
      <c r="N92">
        <v>2</v>
      </c>
      <c r="O92">
        <v>3</v>
      </c>
      <c r="P92">
        <v>12</v>
      </c>
      <c r="Q92" t="str">
        <f>IF(P92=0,"normal",IF(AND(P92&gt;=1,P92&lt;=8),"mild",IF(AND(P92&gt;=9,P92&lt;=15),"moderate",IF(P92&gt;15,"severe",""))))</f>
        <v>moderate</v>
      </c>
      <c r="R92">
        <v>1181</v>
      </c>
    </row>
    <row r="93" spans="1:18" x14ac:dyDescent="0.3">
      <c r="A93" s="3" t="s">
        <v>121</v>
      </c>
      <c r="B93">
        <v>31</v>
      </c>
      <c r="C93" t="s">
        <v>10</v>
      </c>
      <c r="D93" s="1">
        <v>44236</v>
      </c>
      <c r="E93" t="s">
        <v>15</v>
      </c>
      <c r="F93" t="s">
        <v>52</v>
      </c>
      <c r="G93" t="s">
        <v>52</v>
      </c>
      <c r="H93" t="s">
        <v>28</v>
      </c>
      <c r="I93" t="s">
        <v>52</v>
      </c>
      <c r="J93" t="s">
        <v>28</v>
      </c>
      <c r="K93">
        <v>2</v>
      </c>
      <c r="L93">
        <v>2</v>
      </c>
      <c r="M93">
        <v>3</v>
      </c>
      <c r="N93">
        <v>2</v>
      </c>
      <c r="O93">
        <v>3</v>
      </c>
      <c r="P93">
        <v>12</v>
      </c>
      <c r="Q93" t="str">
        <f>IF(P93=0,"normal",IF(AND(P93&gt;=1,P93&lt;=8),"mild",IF(AND(P93&gt;=9,P93&lt;=15),"moderate",IF(P93&gt;15,"severe",""))))</f>
        <v>moderate</v>
      </c>
      <c r="R93">
        <v>1381</v>
      </c>
    </row>
    <row r="94" spans="1:18" x14ac:dyDescent="0.3">
      <c r="A94" s="3" t="s">
        <v>122</v>
      </c>
      <c r="B94">
        <v>47</v>
      </c>
      <c r="C94" t="s">
        <v>10</v>
      </c>
      <c r="D94" s="1">
        <v>44504</v>
      </c>
      <c r="E94" t="s">
        <v>22</v>
      </c>
      <c r="F94" t="s">
        <v>52</v>
      </c>
      <c r="G94" t="s">
        <v>52</v>
      </c>
      <c r="H94" t="s">
        <v>24</v>
      </c>
      <c r="I94" t="s">
        <v>52</v>
      </c>
      <c r="J94" t="s">
        <v>52</v>
      </c>
      <c r="K94">
        <v>2</v>
      </c>
      <c r="L94">
        <v>2</v>
      </c>
      <c r="M94">
        <v>4</v>
      </c>
      <c r="N94">
        <v>2</v>
      </c>
      <c r="O94">
        <v>2</v>
      </c>
      <c r="P94">
        <v>12</v>
      </c>
      <c r="Q94" t="str">
        <f>IF(P94=0,"normal",IF(AND(P94&gt;=1,P94&lt;=8),"mild",IF(AND(P94&gt;=9,P94&lt;=15),"moderate",IF(P94&gt;15,"severe",""))))</f>
        <v>moderate</v>
      </c>
      <c r="R94">
        <v>1321</v>
      </c>
    </row>
    <row r="95" spans="1:18" x14ac:dyDescent="0.3">
      <c r="A95" s="3" t="s">
        <v>123</v>
      </c>
      <c r="B95">
        <v>33</v>
      </c>
      <c r="C95" t="s">
        <v>10</v>
      </c>
      <c r="D95" s="1">
        <v>44341</v>
      </c>
      <c r="E95" t="s">
        <v>11</v>
      </c>
      <c r="F95" t="s">
        <v>52</v>
      </c>
      <c r="G95" t="s">
        <v>52</v>
      </c>
      <c r="H95" t="s">
        <v>28</v>
      </c>
      <c r="I95" t="s">
        <v>52</v>
      </c>
      <c r="J95" t="s">
        <v>28</v>
      </c>
      <c r="K95">
        <v>2</v>
      </c>
      <c r="L95">
        <v>2</v>
      </c>
      <c r="M95">
        <v>3</v>
      </c>
      <c r="N95">
        <v>2</v>
      </c>
      <c r="O95">
        <v>3</v>
      </c>
      <c r="P95">
        <v>12</v>
      </c>
      <c r="Q95" t="str">
        <f>IF(P95=0,"normal",IF(AND(P95&gt;=1,P95&lt;=8),"mild",IF(AND(P95&gt;=9,P95&lt;=15),"moderate",IF(P95&gt;15,"severe",""))))</f>
        <v>moderate</v>
      </c>
      <c r="R95">
        <v>1441</v>
      </c>
    </row>
    <row r="96" spans="1:18" x14ac:dyDescent="0.3">
      <c r="A96" s="3" t="s">
        <v>124</v>
      </c>
      <c r="B96">
        <v>51</v>
      </c>
      <c r="C96" t="s">
        <v>14</v>
      </c>
      <c r="D96" s="1">
        <v>44396</v>
      </c>
      <c r="E96" t="s">
        <v>15</v>
      </c>
      <c r="F96" t="s">
        <v>52</v>
      </c>
      <c r="G96" t="s">
        <v>52</v>
      </c>
      <c r="H96" t="s">
        <v>28</v>
      </c>
      <c r="I96" t="s">
        <v>52</v>
      </c>
      <c r="J96" t="s">
        <v>28</v>
      </c>
      <c r="K96">
        <v>2</v>
      </c>
      <c r="L96">
        <v>2</v>
      </c>
      <c r="M96">
        <v>3</v>
      </c>
      <c r="N96">
        <v>2</v>
      </c>
      <c r="O96">
        <v>3</v>
      </c>
      <c r="P96">
        <v>12</v>
      </c>
      <c r="Q96" t="str">
        <f>IF(P96=0,"normal",IF(AND(P96&gt;=1,P96&lt;=8),"mild",IF(AND(P96&gt;=9,P96&lt;=15),"moderate",IF(P96&gt;15,"severe",""))))</f>
        <v>moderate</v>
      </c>
      <c r="R96">
        <v>981</v>
      </c>
    </row>
    <row r="97" spans="1:18" x14ac:dyDescent="0.3">
      <c r="A97" s="3" t="s">
        <v>125</v>
      </c>
      <c r="B97">
        <v>62</v>
      </c>
      <c r="C97" t="s">
        <v>10</v>
      </c>
      <c r="D97" s="1">
        <v>44231</v>
      </c>
      <c r="E97" t="s">
        <v>15</v>
      </c>
      <c r="F97" t="s">
        <v>52</v>
      </c>
      <c r="G97" t="s">
        <v>28</v>
      </c>
      <c r="H97" t="s">
        <v>52</v>
      </c>
      <c r="I97" t="s">
        <v>52</v>
      </c>
      <c r="J97" t="s">
        <v>28</v>
      </c>
      <c r="K97">
        <v>2</v>
      </c>
      <c r="L97">
        <v>3</v>
      </c>
      <c r="M97">
        <v>2</v>
      </c>
      <c r="N97">
        <v>2</v>
      </c>
      <c r="O97">
        <v>3</v>
      </c>
      <c r="P97">
        <v>12</v>
      </c>
      <c r="Q97" t="str">
        <f>IF(P97=0,"normal",IF(AND(P97&gt;=1,P97&lt;=8),"mild",IF(AND(P97&gt;=9,P97&lt;=15),"moderate",IF(P97&gt;15,"severe",""))))</f>
        <v>moderate</v>
      </c>
      <c r="R97">
        <v>1181</v>
      </c>
    </row>
    <row r="98" spans="1:18" x14ac:dyDescent="0.3">
      <c r="A98" s="3" t="s">
        <v>126</v>
      </c>
      <c r="B98">
        <v>63</v>
      </c>
      <c r="C98" t="s">
        <v>14</v>
      </c>
      <c r="D98" s="1">
        <v>44413</v>
      </c>
      <c r="E98" t="s">
        <v>11</v>
      </c>
      <c r="F98" t="s">
        <v>52</v>
      </c>
      <c r="G98" t="s">
        <v>52</v>
      </c>
      <c r="H98" t="s">
        <v>28</v>
      </c>
      <c r="I98" t="s">
        <v>52</v>
      </c>
      <c r="J98" t="s">
        <v>28</v>
      </c>
      <c r="K98">
        <v>2</v>
      </c>
      <c r="L98">
        <v>2</v>
      </c>
      <c r="M98">
        <v>3</v>
      </c>
      <c r="N98">
        <v>2</v>
      </c>
      <c r="O98">
        <v>3</v>
      </c>
      <c r="P98">
        <v>12</v>
      </c>
      <c r="Q98" t="str">
        <f>IF(P98=0,"normal",IF(AND(P98&gt;=1,P98&lt;=8),"mild",IF(AND(P98&gt;=9,P98&lt;=15),"moderate",IF(P98&gt;15,"severe",""))))</f>
        <v>moderate</v>
      </c>
      <c r="R98">
        <v>1201</v>
      </c>
    </row>
    <row r="99" spans="1:18" x14ac:dyDescent="0.3">
      <c r="A99" s="3" t="s">
        <v>127</v>
      </c>
      <c r="B99">
        <v>55</v>
      </c>
      <c r="C99" t="s">
        <v>14</v>
      </c>
      <c r="D99" s="1">
        <v>44461</v>
      </c>
      <c r="E99" t="s">
        <v>15</v>
      </c>
      <c r="F99" t="s">
        <v>28</v>
      </c>
      <c r="G99" t="s">
        <v>28</v>
      </c>
      <c r="H99" t="s">
        <v>77</v>
      </c>
      <c r="I99" t="s">
        <v>52</v>
      </c>
      <c r="J99" t="s">
        <v>28</v>
      </c>
      <c r="K99">
        <v>3</v>
      </c>
      <c r="L99">
        <v>3</v>
      </c>
      <c r="M99">
        <v>1</v>
      </c>
      <c r="N99">
        <v>2</v>
      </c>
      <c r="O99">
        <v>3</v>
      </c>
      <c r="P99">
        <v>12</v>
      </c>
      <c r="Q99" t="str">
        <f>IF(P99=0,"normal",IF(AND(P99&gt;=1,P99&lt;=8),"mild",IF(AND(P99&gt;=9,P99&lt;=15),"moderate",IF(P99&gt;15,"severe",""))))</f>
        <v>moderate</v>
      </c>
      <c r="R99">
        <v>1261</v>
      </c>
    </row>
    <row r="100" spans="1:18" x14ac:dyDescent="0.3">
      <c r="A100" s="3" t="s">
        <v>128</v>
      </c>
      <c r="B100">
        <v>78</v>
      </c>
      <c r="C100" t="s">
        <v>10</v>
      </c>
      <c r="D100" s="1">
        <v>44468</v>
      </c>
      <c r="E100" t="s">
        <v>15</v>
      </c>
      <c r="F100" t="s">
        <v>28</v>
      </c>
      <c r="G100" t="s">
        <v>77</v>
      </c>
      <c r="H100" t="s">
        <v>28</v>
      </c>
      <c r="I100" t="s">
        <v>28</v>
      </c>
      <c r="J100" t="s">
        <v>52</v>
      </c>
      <c r="K100">
        <v>3</v>
      </c>
      <c r="L100">
        <v>1</v>
      </c>
      <c r="M100">
        <v>3</v>
      </c>
      <c r="N100">
        <v>3</v>
      </c>
      <c r="O100">
        <v>2</v>
      </c>
      <c r="P100">
        <v>12</v>
      </c>
      <c r="Q100" t="str">
        <f>IF(P100=0,"normal",IF(AND(P100&gt;=1,P100&lt;=8),"mild",IF(AND(P100&gt;=9,P100&lt;=15),"moderate",IF(P100&gt;15,"severe",""))))</f>
        <v>moderate</v>
      </c>
      <c r="R100">
        <v>1401</v>
      </c>
    </row>
    <row r="101" spans="1:18" x14ac:dyDescent="0.3">
      <c r="A101" s="3" t="s">
        <v>129</v>
      </c>
      <c r="B101">
        <v>77</v>
      </c>
      <c r="C101" t="s">
        <v>10</v>
      </c>
      <c r="D101" s="1">
        <v>44375</v>
      </c>
      <c r="E101" t="s">
        <v>130</v>
      </c>
      <c r="F101" t="s">
        <v>52</v>
      </c>
      <c r="G101" t="s">
        <v>52</v>
      </c>
      <c r="H101" t="s">
        <v>52</v>
      </c>
      <c r="I101" t="s">
        <v>28</v>
      </c>
      <c r="J101" t="s">
        <v>28</v>
      </c>
      <c r="K101">
        <v>2</v>
      </c>
      <c r="L101">
        <v>2</v>
      </c>
      <c r="M101">
        <v>2</v>
      </c>
      <c r="N101">
        <v>3</v>
      </c>
      <c r="O101">
        <v>3</v>
      </c>
      <c r="P101">
        <v>12</v>
      </c>
      <c r="Q101" t="str">
        <f>IF(P101=0,"normal",IF(AND(P101&gt;=1,P101&lt;=8),"mild",IF(AND(P101&gt;=9,P101&lt;=15),"moderate",IF(P101&gt;15,"severe",""))))</f>
        <v>moderate</v>
      </c>
      <c r="R101">
        <v>1021</v>
      </c>
    </row>
    <row r="102" spans="1:18" x14ac:dyDescent="0.3">
      <c r="A102" s="3" t="s">
        <v>131</v>
      </c>
      <c r="B102">
        <v>38</v>
      </c>
      <c r="C102" t="s">
        <v>14</v>
      </c>
      <c r="D102" s="1">
        <v>44373</v>
      </c>
      <c r="E102" t="s">
        <v>22</v>
      </c>
      <c r="F102" t="s">
        <v>52</v>
      </c>
      <c r="G102" t="s">
        <v>77</v>
      </c>
      <c r="H102" t="s">
        <v>28</v>
      </c>
      <c r="I102" t="s">
        <v>28</v>
      </c>
      <c r="J102" t="s">
        <v>28</v>
      </c>
      <c r="K102">
        <v>2</v>
      </c>
      <c r="L102">
        <v>1</v>
      </c>
      <c r="M102">
        <v>3</v>
      </c>
      <c r="N102">
        <v>3</v>
      </c>
      <c r="O102">
        <v>3</v>
      </c>
      <c r="P102">
        <v>12</v>
      </c>
      <c r="Q102" t="str">
        <f>IF(P102=0,"normal",IF(AND(P102&gt;=1,P102&lt;=8),"mild",IF(AND(P102&gt;=9,P102&lt;=15),"moderate",IF(P102&gt;15,"severe",""))))</f>
        <v>moderate</v>
      </c>
      <c r="R102">
        <v>1281</v>
      </c>
    </row>
    <row r="103" spans="1:18" x14ac:dyDescent="0.3">
      <c r="A103" s="3" t="s">
        <v>132</v>
      </c>
      <c r="B103">
        <v>58</v>
      </c>
      <c r="C103" t="s">
        <v>10</v>
      </c>
      <c r="D103" s="1">
        <v>44448</v>
      </c>
      <c r="E103" t="s">
        <v>15</v>
      </c>
      <c r="F103" t="s">
        <v>28</v>
      </c>
      <c r="G103" t="s">
        <v>52</v>
      </c>
      <c r="H103" t="s">
        <v>52</v>
      </c>
      <c r="I103" t="s">
        <v>28</v>
      </c>
      <c r="J103" t="s">
        <v>52</v>
      </c>
      <c r="K103">
        <v>3</v>
      </c>
      <c r="L103">
        <v>2</v>
      </c>
      <c r="M103">
        <v>2</v>
      </c>
      <c r="N103">
        <v>3</v>
      </c>
      <c r="O103">
        <v>2</v>
      </c>
      <c r="P103">
        <v>12</v>
      </c>
      <c r="Q103" t="str">
        <f>IF(P103=0,"normal",IF(AND(P103&gt;=1,P103&lt;=8),"mild",IF(AND(P103&gt;=9,P103&lt;=15),"moderate",IF(P103&gt;15,"severe",""))))</f>
        <v>moderate</v>
      </c>
      <c r="R103">
        <v>1301</v>
      </c>
    </row>
    <row r="104" spans="1:18" x14ac:dyDescent="0.3">
      <c r="A104" s="3" t="s">
        <v>133</v>
      </c>
      <c r="B104">
        <v>24</v>
      </c>
      <c r="C104" t="s">
        <v>10</v>
      </c>
      <c r="D104" s="1">
        <v>44259</v>
      </c>
      <c r="E104" t="s">
        <v>15</v>
      </c>
      <c r="F104" t="s">
        <v>52</v>
      </c>
      <c r="G104" t="s">
        <v>52</v>
      </c>
      <c r="H104" t="s">
        <v>52</v>
      </c>
      <c r="I104" t="s">
        <v>52</v>
      </c>
      <c r="J104" t="s">
        <v>24</v>
      </c>
      <c r="K104">
        <v>2</v>
      </c>
      <c r="L104">
        <v>2</v>
      </c>
      <c r="M104">
        <v>2</v>
      </c>
      <c r="N104">
        <v>2</v>
      </c>
      <c r="O104">
        <v>4</v>
      </c>
      <c r="P104">
        <v>12</v>
      </c>
      <c r="Q104" t="str">
        <f>IF(P104=0,"normal",IF(AND(P104&gt;=1,P104&lt;=8),"mild",IF(AND(P104&gt;=9,P104&lt;=15),"moderate",IF(P104&gt;15,"severe",""))))</f>
        <v>moderate</v>
      </c>
      <c r="R104">
        <v>1401</v>
      </c>
    </row>
    <row r="105" spans="1:18" x14ac:dyDescent="0.3">
      <c r="A105" s="3" t="s">
        <v>134</v>
      </c>
      <c r="B105">
        <v>40</v>
      </c>
      <c r="C105" t="s">
        <v>14</v>
      </c>
      <c r="D105" s="1">
        <v>44345</v>
      </c>
      <c r="E105" t="s">
        <v>15</v>
      </c>
      <c r="F105" t="s">
        <v>52</v>
      </c>
      <c r="G105" t="s">
        <v>52</v>
      </c>
      <c r="H105" t="s">
        <v>28</v>
      </c>
      <c r="I105" t="s">
        <v>52</v>
      </c>
      <c r="J105" t="s">
        <v>28</v>
      </c>
      <c r="K105">
        <v>2</v>
      </c>
      <c r="L105">
        <v>2</v>
      </c>
      <c r="M105">
        <v>3</v>
      </c>
      <c r="N105">
        <v>2</v>
      </c>
      <c r="O105">
        <v>3</v>
      </c>
      <c r="P105">
        <v>12</v>
      </c>
      <c r="Q105" t="str">
        <f>IF(P105=0,"normal",IF(AND(P105&gt;=1,P105&lt;=8),"mild",IF(AND(P105&gt;=9,P105&lt;=15),"moderate",IF(P105&gt;15,"severe",""))))</f>
        <v>moderate</v>
      </c>
      <c r="R105">
        <v>1181</v>
      </c>
    </row>
    <row r="106" spans="1:18" x14ac:dyDescent="0.3">
      <c r="A106" s="3" t="s">
        <v>135</v>
      </c>
      <c r="B106">
        <v>31</v>
      </c>
      <c r="C106" t="s">
        <v>10</v>
      </c>
      <c r="D106" s="1">
        <v>44445</v>
      </c>
      <c r="E106" t="s">
        <v>15</v>
      </c>
      <c r="F106" t="s">
        <v>77</v>
      </c>
      <c r="G106" t="s">
        <v>52</v>
      </c>
      <c r="H106" t="s">
        <v>24</v>
      </c>
      <c r="I106" t="s">
        <v>52</v>
      </c>
      <c r="J106" t="s">
        <v>28</v>
      </c>
      <c r="K106">
        <v>1</v>
      </c>
      <c r="L106">
        <v>2</v>
      </c>
      <c r="M106">
        <v>4</v>
      </c>
      <c r="N106">
        <v>2</v>
      </c>
      <c r="O106">
        <v>3</v>
      </c>
      <c r="P106">
        <v>12</v>
      </c>
      <c r="Q106" t="str">
        <f>IF(P106=0,"normal",IF(AND(P106&gt;=1,P106&lt;=8),"mild",IF(AND(P106&gt;=9,P106&lt;=15),"moderate",IF(P106&gt;15,"severe",""))))</f>
        <v>moderate</v>
      </c>
      <c r="R106">
        <v>1221</v>
      </c>
    </row>
    <row r="107" spans="1:18" x14ac:dyDescent="0.3">
      <c r="A107" s="3" t="s">
        <v>136</v>
      </c>
      <c r="B107">
        <v>68</v>
      </c>
      <c r="C107" t="s">
        <v>10</v>
      </c>
      <c r="D107" s="1">
        <v>44537</v>
      </c>
      <c r="E107" t="s">
        <v>15</v>
      </c>
      <c r="F107" t="s">
        <v>52</v>
      </c>
      <c r="G107" t="s">
        <v>52</v>
      </c>
      <c r="H107" t="s">
        <v>24</v>
      </c>
      <c r="I107" t="s">
        <v>77</v>
      </c>
      <c r="J107" t="s">
        <v>28</v>
      </c>
      <c r="K107">
        <v>2</v>
      </c>
      <c r="L107">
        <v>2</v>
      </c>
      <c r="M107">
        <v>4</v>
      </c>
      <c r="N107">
        <v>1</v>
      </c>
      <c r="O107">
        <v>3</v>
      </c>
      <c r="P107">
        <v>12</v>
      </c>
      <c r="Q107" t="str">
        <f>IF(P107=0,"normal",IF(AND(P107&gt;=1,P107&lt;=8),"mild",IF(AND(P107&gt;=9,P107&lt;=15),"moderate",IF(P107&gt;15,"severe",""))))</f>
        <v>moderate</v>
      </c>
      <c r="R107">
        <v>981</v>
      </c>
    </row>
    <row r="108" spans="1:18" x14ac:dyDescent="0.3">
      <c r="A108" s="3" t="s">
        <v>137</v>
      </c>
      <c r="B108">
        <v>70</v>
      </c>
      <c r="C108" t="s">
        <v>14</v>
      </c>
      <c r="D108" s="1">
        <v>44422</v>
      </c>
      <c r="F108" t="s">
        <v>28</v>
      </c>
      <c r="G108" t="s">
        <v>77</v>
      </c>
      <c r="H108" t="s">
        <v>28</v>
      </c>
      <c r="I108" t="s">
        <v>52</v>
      </c>
      <c r="J108" t="s">
        <v>28</v>
      </c>
      <c r="K108">
        <v>3</v>
      </c>
      <c r="L108">
        <v>1</v>
      </c>
      <c r="M108">
        <v>3</v>
      </c>
      <c r="N108">
        <v>2</v>
      </c>
      <c r="O108">
        <v>3</v>
      </c>
      <c r="P108">
        <v>12</v>
      </c>
      <c r="Q108" t="str">
        <f>IF(P108=0,"normal",IF(AND(P108&gt;=1,P108&lt;=8),"mild",IF(AND(P108&gt;=9,P108&lt;=15),"moderate",IF(P108&gt;15,"severe",""))))</f>
        <v>moderate</v>
      </c>
      <c r="R108">
        <v>1061</v>
      </c>
    </row>
    <row r="109" spans="1:18" x14ac:dyDescent="0.3">
      <c r="A109" s="3" t="s">
        <v>138</v>
      </c>
      <c r="B109">
        <v>60</v>
      </c>
      <c r="C109" t="s">
        <v>10</v>
      </c>
      <c r="D109" s="1">
        <v>44300</v>
      </c>
      <c r="E109" t="s">
        <v>15</v>
      </c>
      <c r="F109" t="s">
        <v>52</v>
      </c>
      <c r="G109" t="s">
        <v>52</v>
      </c>
      <c r="H109" t="s">
        <v>52</v>
      </c>
      <c r="I109" t="s">
        <v>52</v>
      </c>
      <c r="J109" t="s">
        <v>28</v>
      </c>
      <c r="K109">
        <v>2</v>
      </c>
      <c r="L109">
        <v>2</v>
      </c>
      <c r="M109">
        <v>2</v>
      </c>
      <c r="N109">
        <v>2</v>
      </c>
      <c r="O109">
        <v>3</v>
      </c>
      <c r="P109">
        <v>11</v>
      </c>
      <c r="Q109" t="str">
        <f>IF(P109=0,"normal",IF(AND(P109&gt;=1,P109&lt;=8),"mild",IF(AND(P109&gt;=9,P109&lt;=15),"moderate",IF(P109&gt;15,"severe",""))))</f>
        <v>moderate</v>
      </c>
      <c r="R109">
        <v>1161</v>
      </c>
    </row>
    <row r="110" spans="1:18" x14ac:dyDescent="0.3">
      <c r="A110" s="3" t="s">
        <v>139</v>
      </c>
      <c r="B110">
        <v>47</v>
      </c>
      <c r="C110" t="s">
        <v>10</v>
      </c>
      <c r="D110" s="1">
        <v>44356</v>
      </c>
      <c r="E110" t="s">
        <v>15</v>
      </c>
      <c r="F110" t="s">
        <v>52</v>
      </c>
      <c r="G110" t="s">
        <v>28</v>
      </c>
      <c r="H110" t="s">
        <v>52</v>
      </c>
      <c r="I110" t="s">
        <v>52</v>
      </c>
      <c r="J110" t="s">
        <v>52</v>
      </c>
      <c r="K110">
        <v>2</v>
      </c>
      <c r="L110">
        <v>3</v>
      </c>
      <c r="M110">
        <v>2</v>
      </c>
      <c r="N110">
        <v>2</v>
      </c>
      <c r="O110">
        <v>2</v>
      </c>
      <c r="P110">
        <v>11</v>
      </c>
      <c r="Q110" t="str">
        <f>IF(P110=0,"normal",IF(AND(P110&gt;=1,P110&lt;=8),"mild",IF(AND(P110&gt;=9,P110&lt;=15),"moderate",IF(P110&gt;15,"severe",""))))</f>
        <v>moderate</v>
      </c>
      <c r="R110">
        <v>1175</v>
      </c>
    </row>
    <row r="111" spans="1:18" x14ac:dyDescent="0.3">
      <c r="A111" s="3" t="s">
        <v>140</v>
      </c>
      <c r="B111">
        <v>65</v>
      </c>
      <c r="C111" t="s">
        <v>10</v>
      </c>
      <c r="D111" s="1">
        <v>44406</v>
      </c>
      <c r="E111" t="s">
        <v>141</v>
      </c>
      <c r="F111" t="s">
        <v>77</v>
      </c>
      <c r="G111" t="s">
        <v>52</v>
      </c>
      <c r="H111" t="s">
        <v>28</v>
      </c>
      <c r="I111" t="s">
        <v>52</v>
      </c>
      <c r="J111" t="s">
        <v>28</v>
      </c>
      <c r="K111">
        <v>1</v>
      </c>
      <c r="L111">
        <v>2</v>
      </c>
      <c r="M111">
        <v>3</v>
      </c>
      <c r="N111">
        <v>2</v>
      </c>
      <c r="O111">
        <v>3</v>
      </c>
      <c r="P111">
        <v>11</v>
      </c>
      <c r="Q111" t="str">
        <f>IF(P111=0,"normal",IF(AND(P111&gt;=1,P111&lt;=8),"mild",IF(AND(P111&gt;=9,P111&lt;=15),"moderate",IF(P111&gt;15,"severe",""))))</f>
        <v>moderate</v>
      </c>
      <c r="R111">
        <v>372</v>
      </c>
    </row>
    <row r="112" spans="1:18" x14ac:dyDescent="0.3">
      <c r="A112" s="3" t="s">
        <v>142</v>
      </c>
      <c r="B112">
        <v>72</v>
      </c>
      <c r="C112" t="s">
        <v>10</v>
      </c>
      <c r="D112" s="1">
        <v>44343</v>
      </c>
      <c r="E112" t="s">
        <v>15</v>
      </c>
      <c r="F112" t="s">
        <v>52</v>
      </c>
      <c r="G112" t="s">
        <v>77</v>
      </c>
      <c r="H112" t="s">
        <v>52</v>
      </c>
      <c r="I112" t="s">
        <v>52</v>
      </c>
      <c r="J112" t="s">
        <v>24</v>
      </c>
      <c r="K112">
        <v>2</v>
      </c>
      <c r="L112">
        <v>1</v>
      </c>
      <c r="M112">
        <v>2</v>
      </c>
      <c r="N112">
        <v>2</v>
      </c>
      <c r="O112">
        <v>4</v>
      </c>
      <c r="P112">
        <v>11</v>
      </c>
      <c r="Q112" t="str">
        <f>IF(P112=0,"normal",IF(AND(P112&gt;=1,P112&lt;=8),"mild",IF(AND(P112&gt;=9,P112&lt;=15),"moderate",IF(P112&gt;15,"severe",""))))</f>
        <v>moderate</v>
      </c>
      <c r="R112">
        <v>1221</v>
      </c>
    </row>
    <row r="113" spans="1:18" x14ac:dyDescent="0.3">
      <c r="A113" s="3" t="s">
        <v>143</v>
      </c>
      <c r="B113">
        <v>65</v>
      </c>
      <c r="C113" t="s">
        <v>10</v>
      </c>
      <c r="D113" s="1">
        <v>44431</v>
      </c>
      <c r="E113" t="s">
        <v>15</v>
      </c>
      <c r="F113" t="s">
        <v>77</v>
      </c>
      <c r="G113" t="s">
        <v>52</v>
      </c>
      <c r="H113" t="s">
        <v>28</v>
      </c>
      <c r="I113" t="s">
        <v>52</v>
      </c>
      <c r="J113" t="s">
        <v>28</v>
      </c>
      <c r="K113">
        <v>1</v>
      </c>
      <c r="L113">
        <v>2</v>
      </c>
      <c r="M113">
        <v>3</v>
      </c>
      <c r="N113">
        <v>2</v>
      </c>
      <c r="O113">
        <v>3</v>
      </c>
      <c r="P113">
        <v>11</v>
      </c>
      <c r="Q113" t="str">
        <f>IF(P113=0,"normal",IF(AND(P113&gt;=1,P113&lt;=8),"mild",IF(AND(P113&gt;=9,P113&lt;=15),"moderate",IF(P113&gt;15,"severe",""))))</f>
        <v>moderate</v>
      </c>
      <c r="R113">
        <v>66</v>
      </c>
    </row>
    <row r="114" spans="1:18" x14ac:dyDescent="0.3">
      <c r="A114" s="3" t="s">
        <v>144</v>
      </c>
      <c r="B114">
        <v>67</v>
      </c>
      <c r="C114" t="s">
        <v>10</v>
      </c>
      <c r="D114" s="1">
        <v>44516</v>
      </c>
      <c r="E114" t="s">
        <v>22</v>
      </c>
      <c r="F114" t="s">
        <v>52</v>
      </c>
      <c r="G114" t="s">
        <v>52</v>
      </c>
      <c r="H114" t="s">
        <v>28</v>
      </c>
      <c r="I114" t="s">
        <v>52</v>
      </c>
      <c r="J114" t="s">
        <v>52</v>
      </c>
      <c r="K114">
        <v>2</v>
      </c>
      <c r="L114">
        <v>2</v>
      </c>
      <c r="M114">
        <v>3</v>
      </c>
      <c r="N114">
        <v>2</v>
      </c>
      <c r="O114">
        <v>2</v>
      </c>
      <c r="P114">
        <v>11</v>
      </c>
      <c r="Q114" t="str">
        <f>IF(P114=0,"normal",IF(AND(P114&gt;=1,P114&lt;=8),"mild",IF(AND(P114&gt;=9,P114&lt;=15),"moderate",IF(P114&gt;15,"severe",""))))</f>
        <v>moderate</v>
      </c>
      <c r="R114">
        <v>1041</v>
      </c>
    </row>
    <row r="115" spans="1:18" x14ac:dyDescent="0.3">
      <c r="A115" s="3" t="s">
        <v>145</v>
      </c>
      <c r="B115">
        <v>59</v>
      </c>
      <c r="C115" t="s">
        <v>10</v>
      </c>
      <c r="D115" s="1">
        <v>44459</v>
      </c>
      <c r="E115" t="s">
        <v>22</v>
      </c>
      <c r="F115" t="s">
        <v>77</v>
      </c>
      <c r="G115" s="2">
        <v>0</v>
      </c>
      <c r="H115" t="s">
        <v>12</v>
      </c>
      <c r="I115" t="s">
        <v>28</v>
      </c>
      <c r="J115" t="s">
        <v>52</v>
      </c>
      <c r="K115">
        <v>1</v>
      </c>
      <c r="L115">
        <v>0</v>
      </c>
      <c r="M115">
        <v>5</v>
      </c>
      <c r="N115">
        <v>3</v>
      </c>
      <c r="O115">
        <v>2</v>
      </c>
      <c r="P115">
        <v>11</v>
      </c>
      <c r="Q115" t="str">
        <f>IF(P115=0,"normal",IF(AND(P115&gt;=1,P115&lt;=8),"mild",IF(AND(P115&gt;=9,P115&lt;=15),"moderate",IF(P115&gt;15,"severe",""))))</f>
        <v>moderate</v>
      </c>
      <c r="R115">
        <v>1241</v>
      </c>
    </row>
    <row r="116" spans="1:18" x14ac:dyDescent="0.3">
      <c r="A116" s="3" t="s">
        <v>146</v>
      </c>
      <c r="B116">
        <v>68</v>
      </c>
      <c r="C116" t="s">
        <v>14</v>
      </c>
      <c r="D116" s="1">
        <v>44459</v>
      </c>
      <c r="E116" t="s">
        <v>22</v>
      </c>
      <c r="F116" t="s">
        <v>52</v>
      </c>
      <c r="G116" t="s">
        <v>52</v>
      </c>
      <c r="H116" t="s">
        <v>52</v>
      </c>
      <c r="I116" t="s">
        <v>52</v>
      </c>
      <c r="J116" t="s">
        <v>28</v>
      </c>
      <c r="K116">
        <v>2</v>
      </c>
      <c r="L116">
        <v>2</v>
      </c>
      <c r="M116">
        <v>2</v>
      </c>
      <c r="N116">
        <v>2</v>
      </c>
      <c r="O116">
        <v>3</v>
      </c>
      <c r="P116">
        <v>11</v>
      </c>
      <c r="Q116" t="str">
        <f>IF(P116=0,"normal",IF(AND(P116&gt;=1,P116&lt;=8),"mild",IF(AND(P116&gt;=9,P116&lt;=15),"moderate",IF(P116&gt;15,"severe",""))))</f>
        <v>moderate</v>
      </c>
      <c r="R116">
        <v>1441</v>
      </c>
    </row>
    <row r="117" spans="1:18" x14ac:dyDescent="0.3">
      <c r="A117" s="3" t="s">
        <v>147</v>
      </c>
      <c r="B117">
        <v>66</v>
      </c>
      <c r="C117" t="s">
        <v>10</v>
      </c>
      <c r="D117" s="1">
        <v>44504</v>
      </c>
      <c r="E117" t="s">
        <v>15</v>
      </c>
      <c r="F117" t="s">
        <v>52</v>
      </c>
      <c r="G117" t="s">
        <v>77</v>
      </c>
      <c r="H117" t="s">
        <v>28</v>
      </c>
      <c r="I117" t="s">
        <v>52</v>
      </c>
      <c r="J117" t="s">
        <v>28</v>
      </c>
      <c r="K117">
        <v>2</v>
      </c>
      <c r="L117">
        <v>1</v>
      </c>
      <c r="M117">
        <v>3</v>
      </c>
      <c r="N117">
        <v>2</v>
      </c>
      <c r="O117">
        <v>3</v>
      </c>
      <c r="P117">
        <v>11</v>
      </c>
      <c r="Q117" t="str">
        <f>IF(P117=0,"normal",IF(AND(P117&gt;=1,P117&lt;=8),"mild",IF(AND(P117&gt;=9,P117&lt;=15),"moderate",IF(P117&gt;15,"severe",""))))</f>
        <v>moderate</v>
      </c>
      <c r="R117">
        <v>1341</v>
      </c>
    </row>
    <row r="118" spans="1:18" x14ac:dyDescent="0.3">
      <c r="A118" s="3" t="s">
        <v>148</v>
      </c>
      <c r="B118">
        <v>27</v>
      </c>
      <c r="C118" t="s">
        <v>10</v>
      </c>
      <c r="D118" s="1">
        <v>44341</v>
      </c>
      <c r="E118" t="s">
        <v>11</v>
      </c>
      <c r="F118" t="s">
        <v>77</v>
      </c>
      <c r="G118" t="s">
        <v>52</v>
      </c>
      <c r="H118" t="s">
        <v>28</v>
      </c>
      <c r="I118" t="s">
        <v>52</v>
      </c>
      <c r="J118" t="s">
        <v>28</v>
      </c>
      <c r="K118">
        <v>1</v>
      </c>
      <c r="L118">
        <v>2</v>
      </c>
      <c r="M118">
        <v>3</v>
      </c>
      <c r="N118">
        <v>2</v>
      </c>
      <c r="O118">
        <v>3</v>
      </c>
      <c r="P118">
        <v>11</v>
      </c>
      <c r="Q118" t="str">
        <f>IF(P118=0,"normal",IF(AND(P118&gt;=1,P118&lt;=8),"mild",IF(AND(P118&gt;=9,P118&lt;=15),"moderate",IF(P118&gt;15,"severe",""))))</f>
        <v>moderate</v>
      </c>
      <c r="R118">
        <v>1321</v>
      </c>
    </row>
    <row r="119" spans="1:18" x14ac:dyDescent="0.3">
      <c r="A119" s="3" t="s">
        <v>149</v>
      </c>
      <c r="B119">
        <v>86</v>
      </c>
      <c r="C119" t="s">
        <v>14</v>
      </c>
      <c r="D119" s="1">
        <v>44460</v>
      </c>
      <c r="E119" t="s">
        <v>22</v>
      </c>
      <c r="F119" t="s">
        <v>77</v>
      </c>
      <c r="G119" t="s">
        <v>52</v>
      </c>
      <c r="H119" t="s">
        <v>24</v>
      </c>
      <c r="I119" t="s">
        <v>77</v>
      </c>
      <c r="J119" t="s">
        <v>28</v>
      </c>
      <c r="K119">
        <v>1</v>
      </c>
      <c r="L119">
        <v>2</v>
      </c>
      <c r="M119">
        <v>4</v>
      </c>
      <c r="N119">
        <v>1</v>
      </c>
      <c r="O119">
        <v>3</v>
      </c>
      <c r="P119">
        <v>11</v>
      </c>
      <c r="Q119" t="str">
        <f>IF(P119=0,"normal",IF(AND(P119&gt;=1,P119&lt;=8),"mild",IF(AND(P119&gt;=9,P119&lt;=15),"moderate",IF(P119&gt;15,"severe",""))))</f>
        <v>moderate</v>
      </c>
      <c r="R119">
        <v>1021</v>
      </c>
    </row>
    <row r="120" spans="1:18" x14ac:dyDescent="0.3">
      <c r="A120" s="3" t="s">
        <v>150</v>
      </c>
      <c r="B120">
        <v>59</v>
      </c>
      <c r="C120" t="s">
        <v>10</v>
      </c>
      <c r="D120" s="1">
        <v>44401</v>
      </c>
      <c r="E120" t="s">
        <v>68</v>
      </c>
      <c r="F120" t="s">
        <v>52</v>
      </c>
      <c r="G120" t="s">
        <v>28</v>
      </c>
      <c r="H120" t="s">
        <v>52</v>
      </c>
      <c r="I120" t="s">
        <v>28</v>
      </c>
      <c r="J120" t="s">
        <v>77</v>
      </c>
      <c r="K120">
        <v>2</v>
      </c>
      <c r="L120">
        <v>3</v>
      </c>
      <c r="M120">
        <v>2</v>
      </c>
      <c r="N120">
        <v>3</v>
      </c>
      <c r="O120">
        <v>1</v>
      </c>
      <c r="P120">
        <v>11</v>
      </c>
      <c r="Q120" t="str">
        <f>IF(P120=0,"normal",IF(AND(P120&gt;=1,P120&lt;=8),"mild",IF(AND(P120&gt;=9,P120&lt;=15),"moderate",IF(P120&gt;15,"severe",""))))</f>
        <v>moderate</v>
      </c>
      <c r="R120">
        <v>1181</v>
      </c>
    </row>
    <row r="121" spans="1:18" x14ac:dyDescent="0.3">
      <c r="A121" s="3" t="s">
        <v>151</v>
      </c>
      <c r="B121">
        <v>37</v>
      </c>
      <c r="C121" t="s">
        <v>10</v>
      </c>
      <c r="D121" s="1">
        <v>44202</v>
      </c>
      <c r="E121" t="s">
        <v>15</v>
      </c>
      <c r="F121" t="s">
        <v>28</v>
      </c>
      <c r="G121" t="s">
        <v>52</v>
      </c>
      <c r="H121" t="s">
        <v>52</v>
      </c>
      <c r="I121" t="s">
        <v>52</v>
      </c>
      <c r="J121" t="s">
        <v>52</v>
      </c>
      <c r="K121">
        <v>3</v>
      </c>
      <c r="L121">
        <v>2</v>
      </c>
      <c r="M121">
        <v>2</v>
      </c>
      <c r="N121">
        <v>2</v>
      </c>
      <c r="O121">
        <v>2</v>
      </c>
      <c r="P121">
        <v>11</v>
      </c>
      <c r="Q121" t="str">
        <f>IF(P121=0,"normal",IF(AND(P121&gt;=1,P121&lt;=8),"mild",IF(AND(P121&gt;=9,P121&lt;=15),"moderate",IF(P121&gt;15,"severe",""))))</f>
        <v>moderate</v>
      </c>
      <c r="R121">
        <v>1221</v>
      </c>
    </row>
    <row r="122" spans="1:18" x14ac:dyDescent="0.3">
      <c r="A122" s="3" t="s">
        <v>152</v>
      </c>
      <c r="B122">
        <v>53</v>
      </c>
      <c r="C122" t="s">
        <v>10</v>
      </c>
      <c r="D122" s="1">
        <v>44303</v>
      </c>
      <c r="E122" t="s">
        <v>22</v>
      </c>
      <c r="F122" t="s">
        <v>52</v>
      </c>
      <c r="G122" t="s">
        <v>52</v>
      </c>
      <c r="H122" t="s">
        <v>28</v>
      </c>
      <c r="I122" t="s">
        <v>52</v>
      </c>
      <c r="J122" t="s">
        <v>52</v>
      </c>
      <c r="K122">
        <v>2</v>
      </c>
      <c r="L122">
        <v>2</v>
      </c>
      <c r="M122">
        <v>3</v>
      </c>
      <c r="N122">
        <v>2</v>
      </c>
      <c r="O122">
        <v>2</v>
      </c>
      <c r="P122">
        <v>11</v>
      </c>
      <c r="Q122" t="str">
        <f>IF(P122=0,"normal",IF(AND(P122&gt;=1,P122&lt;=8),"mild",IF(AND(P122&gt;=9,P122&lt;=15),"moderate",IF(P122&gt;15,"severe",""))))</f>
        <v>moderate</v>
      </c>
      <c r="R122">
        <v>1141</v>
      </c>
    </row>
    <row r="123" spans="1:18" x14ac:dyDescent="0.3">
      <c r="A123" s="4" t="s">
        <v>153</v>
      </c>
      <c r="B123">
        <v>52</v>
      </c>
      <c r="C123" t="s">
        <v>10</v>
      </c>
      <c r="D123" s="1">
        <v>44353</v>
      </c>
      <c r="E123" t="s">
        <v>336</v>
      </c>
      <c r="F123" t="str">
        <f t="shared" ref="F123:J125" si="4">IF(K123=0,"0%",IF(K123=1,"&lt;5%",IF(K123=2,"5-25%",IF(K123=3,"26-49%",IF(K123=4,"50-75%",IF(K123=5,"&gt;75%"))))))</f>
        <v>5-25%</v>
      </c>
      <c r="G123" t="str">
        <f t="shared" si="4"/>
        <v>26-49%</v>
      </c>
      <c r="H123" t="str">
        <f t="shared" si="4"/>
        <v>5-25%</v>
      </c>
      <c r="I123" t="str">
        <f t="shared" si="4"/>
        <v>5-25%</v>
      </c>
      <c r="J123" t="str">
        <f t="shared" si="4"/>
        <v>5-25%</v>
      </c>
      <c r="K123">
        <v>2</v>
      </c>
      <c r="L123">
        <v>3</v>
      </c>
      <c r="M123">
        <v>2</v>
      </c>
      <c r="N123">
        <v>2</v>
      </c>
      <c r="O123">
        <v>2</v>
      </c>
      <c r="P123">
        <v>11</v>
      </c>
      <c r="Q123" t="str">
        <f>IF(P123=0,"normal",IF(AND(P123&gt;=1,P123&lt;=8),"mild",IF(AND(P123&gt;=9,P123&lt;=15),"moderate",IF(P123&gt;15,"severe",""))))</f>
        <v>moderate</v>
      </c>
      <c r="R123">
        <v>63</v>
      </c>
    </row>
    <row r="124" spans="1:18" x14ac:dyDescent="0.3">
      <c r="A124" s="4" t="s">
        <v>154</v>
      </c>
      <c r="B124">
        <v>32</v>
      </c>
      <c r="C124" t="s">
        <v>14</v>
      </c>
      <c r="D124" s="1">
        <v>44353</v>
      </c>
      <c r="E124" t="s">
        <v>335</v>
      </c>
      <c r="F124" t="str">
        <f t="shared" si="4"/>
        <v>5-25%</v>
      </c>
      <c r="G124" t="str">
        <f t="shared" si="4"/>
        <v>5-25%</v>
      </c>
      <c r="H124" t="str">
        <f t="shared" si="4"/>
        <v>5-25%</v>
      </c>
      <c r="I124" t="str">
        <f t="shared" si="4"/>
        <v>5-25%</v>
      </c>
      <c r="J124" t="str">
        <f t="shared" si="4"/>
        <v>26-49%</v>
      </c>
      <c r="K124">
        <v>2</v>
      </c>
      <c r="L124">
        <v>2</v>
      </c>
      <c r="M124">
        <v>2</v>
      </c>
      <c r="N124">
        <v>2</v>
      </c>
      <c r="O124">
        <v>3</v>
      </c>
      <c r="P124">
        <v>11</v>
      </c>
      <c r="Q124" t="str">
        <f>IF(P124=0,"normal",IF(AND(P124&gt;=1,P124&lt;=8),"mild",IF(AND(P124&gt;=9,P124&lt;=15),"moderate",IF(P124&gt;15,"severe",""))))</f>
        <v>moderate</v>
      </c>
      <c r="R124">
        <v>63</v>
      </c>
    </row>
    <row r="125" spans="1:18" x14ac:dyDescent="0.3">
      <c r="A125" s="4" t="s">
        <v>155</v>
      </c>
      <c r="B125">
        <v>66</v>
      </c>
      <c r="C125" t="s">
        <v>10</v>
      </c>
      <c r="D125" s="1">
        <v>44475</v>
      </c>
      <c r="E125" t="s">
        <v>335</v>
      </c>
      <c r="F125" t="str">
        <f t="shared" si="4"/>
        <v>26-49%</v>
      </c>
      <c r="G125" t="str">
        <f t="shared" si="4"/>
        <v>5-25%</v>
      </c>
      <c r="H125" t="str">
        <f t="shared" si="4"/>
        <v>5-25%</v>
      </c>
      <c r="I125" t="str">
        <f t="shared" si="4"/>
        <v>5-25%</v>
      </c>
      <c r="J125" t="str">
        <f t="shared" si="4"/>
        <v>5-25%</v>
      </c>
      <c r="K125">
        <v>3</v>
      </c>
      <c r="L125">
        <v>2</v>
      </c>
      <c r="M125">
        <v>2</v>
      </c>
      <c r="N125">
        <v>2</v>
      </c>
      <c r="O125">
        <v>2</v>
      </c>
      <c r="P125">
        <v>11</v>
      </c>
      <c r="Q125" t="str">
        <f>IF(P125=0,"normal",IF(AND(P125&gt;=1,P125&lt;=8),"mild",IF(AND(P125&gt;=9,P125&lt;=15),"moderate",IF(P125&gt;15,"severe",""))))</f>
        <v>moderate</v>
      </c>
      <c r="R125">
        <v>70</v>
      </c>
    </row>
    <row r="126" spans="1:18" x14ac:dyDescent="0.3">
      <c r="A126" s="3" t="s">
        <v>156</v>
      </c>
      <c r="B126">
        <v>36</v>
      </c>
      <c r="C126" t="s">
        <v>14</v>
      </c>
      <c r="D126" s="1">
        <v>44504</v>
      </c>
      <c r="E126" t="s">
        <v>15</v>
      </c>
      <c r="F126" t="s">
        <v>52</v>
      </c>
      <c r="G126" t="s">
        <v>52</v>
      </c>
      <c r="H126" t="s">
        <v>52</v>
      </c>
      <c r="I126" t="s">
        <v>52</v>
      </c>
      <c r="J126" t="s">
        <v>52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10</v>
      </c>
      <c r="Q126" t="str">
        <f>IF(P126=0,"normal",IF(AND(P126&gt;=1,P126&lt;=8),"mild",IF(AND(P126&gt;=9,P126&lt;=15),"moderate",IF(P126&gt;15,"severe",""))))</f>
        <v>moderate</v>
      </c>
      <c r="R126">
        <v>1101</v>
      </c>
    </row>
    <row r="127" spans="1:18" x14ac:dyDescent="0.3">
      <c r="A127" s="3" t="s">
        <v>157</v>
      </c>
      <c r="B127">
        <v>61</v>
      </c>
      <c r="C127" t="s">
        <v>10</v>
      </c>
      <c r="D127" s="1">
        <v>44290</v>
      </c>
      <c r="E127" t="s">
        <v>158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10</v>
      </c>
      <c r="Q127" t="str">
        <f>IF(P127=0,"normal",IF(AND(P127&gt;=1,P127&lt;=8),"mild",IF(AND(P127&gt;=9,P127&lt;=15),"moderate",IF(P127&gt;15,"severe",""))))</f>
        <v>moderate</v>
      </c>
      <c r="R127">
        <v>1101</v>
      </c>
    </row>
    <row r="128" spans="1:18" x14ac:dyDescent="0.3">
      <c r="A128" s="3" t="s">
        <v>159</v>
      </c>
      <c r="B128">
        <v>56</v>
      </c>
      <c r="C128" t="s">
        <v>14</v>
      </c>
      <c r="D128" s="1">
        <v>44334</v>
      </c>
      <c r="E128" t="s">
        <v>141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10</v>
      </c>
      <c r="Q128" t="str">
        <f>IF(P128=0,"normal",IF(AND(P128&gt;=1,P128&lt;=8),"mild",IF(AND(P128&gt;=9,P128&lt;=15),"moderate",IF(P128&gt;15,"severe",""))))</f>
        <v>moderate</v>
      </c>
      <c r="R128">
        <v>1021</v>
      </c>
    </row>
    <row r="129" spans="1:18" x14ac:dyDescent="0.3">
      <c r="A129" s="3" t="s">
        <v>160</v>
      </c>
      <c r="B129">
        <v>63</v>
      </c>
      <c r="C129" t="s">
        <v>10</v>
      </c>
      <c r="D129" s="1">
        <v>44231</v>
      </c>
      <c r="E129" t="s">
        <v>15</v>
      </c>
      <c r="F129" t="s">
        <v>77</v>
      </c>
      <c r="G129" t="s">
        <v>52</v>
      </c>
      <c r="H129" t="s">
        <v>28</v>
      </c>
      <c r="I129" t="s">
        <v>52</v>
      </c>
      <c r="J129" t="s">
        <v>52</v>
      </c>
      <c r="K129">
        <v>1</v>
      </c>
      <c r="L129">
        <v>2</v>
      </c>
      <c r="M129">
        <v>3</v>
      </c>
      <c r="N129">
        <v>2</v>
      </c>
      <c r="O129">
        <v>2</v>
      </c>
      <c r="P129">
        <v>10</v>
      </c>
      <c r="Q129" t="str">
        <f>IF(P129=0,"normal",IF(AND(P129&gt;=1,P129&lt;=8),"mild",IF(AND(P129&gt;=9,P129&lt;=15),"moderate",IF(P129&gt;15,"severe",""))))</f>
        <v>moderate</v>
      </c>
      <c r="R129">
        <v>1221</v>
      </c>
    </row>
    <row r="130" spans="1:18" x14ac:dyDescent="0.3">
      <c r="A130" s="3" t="s">
        <v>161</v>
      </c>
      <c r="B130">
        <v>32</v>
      </c>
      <c r="C130" t="s">
        <v>10</v>
      </c>
      <c r="D130" s="1">
        <v>44372</v>
      </c>
      <c r="E130" t="s">
        <v>68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10</v>
      </c>
      <c r="Q130" t="str">
        <f>IF(P130=0,"normal",IF(AND(P130&gt;=1,P130&lt;=8),"mild",IF(AND(P130&gt;=9,P130&lt;=15),"moderate",IF(P130&gt;15,"severe",""))))</f>
        <v>moderate</v>
      </c>
      <c r="R130">
        <v>1241</v>
      </c>
    </row>
    <row r="131" spans="1:18" x14ac:dyDescent="0.3">
      <c r="A131" s="3" t="s">
        <v>162</v>
      </c>
      <c r="B131">
        <v>43</v>
      </c>
      <c r="C131" t="s">
        <v>10</v>
      </c>
      <c r="D131" s="1">
        <v>44309</v>
      </c>
      <c r="E131" t="s">
        <v>15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10</v>
      </c>
      <c r="Q131" t="str">
        <f>IF(P131=0,"normal",IF(AND(P131&gt;=1,P131&lt;=8),"mild",IF(AND(P131&gt;=9,P131&lt;=15),"moderate",IF(P131&gt;15,"severe",""))))</f>
        <v>moderate</v>
      </c>
      <c r="R131">
        <v>1621</v>
      </c>
    </row>
    <row r="132" spans="1:18" x14ac:dyDescent="0.3">
      <c r="A132" s="3" t="s">
        <v>163</v>
      </c>
      <c r="B132">
        <v>20</v>
      </c>
      <c r="C132" t="s">
        <v>10</v>
      </c>
      <c r="D132" s="1">
        <v>44312</v>
      </c>
      <c r="E132" t="s">
        <v>15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10</v>
      </c>
      <c r="Q132" t="str">
        <f>IF(P132=0,"normal",IF(AND(P132&gt;=1,P132&lt;=8),"mild",IF(AND(P132&gt;=9,P132&lt;=15),"moderate",IF(P132&gt;15,"severe",""))))</f>
        <v>moderate</v>
      </c>
      <c r="R132">
        <v>1233</v>
      </c>
    </row>
    <row r="133" spans="1:18" x14ac:dyDescent="0.3">
      <c r="A133" s="3" t="s">
        <v>164</v>
      </c>
      <c r="B133">
        <v>64</v>
      </c>
      <c r="C133" t="s">
        <v>10</v>
      </c>
      <c r="D133" s="1">
        <v>44372</v>
      </c>
      <c r="E133" t="s">
        <v>15</v>
      </c>
      <c r="F133" t="s">
        <v>28</v>
      </c>
      <c r="G133" t="s">
        <v>77</v>
      </c>
      <c r="H133" t="s">
        <v>52</v>
      </c>
      <c r="I133" t="s">
        <v>52</v>
      </c>
      <c r="J133" t="s">
        <v>52</v>
      </c>
      <c r="K133">
        <v>3</v>
      </c>
      <c r="L133">
        <v>1</v>
      </c>
      <c r="M133">
        <v>2</v>
      </c>
      <c r="N133">
        <v>2</v>
      </c>
      <c r="O133">
        <v>2</v>
      </c>
      <c r="P133">
        <v>10</v>
      </c>
      <c r="Q133" t="str">
        <f>IF(P133=0,"normal",IF(AND(P133&gt;=1,P133&lt;=8),"mild",IF(AND(P133&gt;=9,P133&lt;=15),"moderate",IF(P133&gt;15,"severe",""))))</f>
        <v>moderate</v>
      </c>
      <c r="R133">
        <v>1161</v>
      </c>
    </row>
    <row r="134" spans="1:18" x14ac:dyDescent="0.3">
      <c r="A134" s="3" t="s">
        <v>165</v>
      </c>
      <c r="B134">
        <v>53</v>
      </c>
      <c r="C134" t="s">
        <v>14</v>
      </c>
      <c r="D134" s="1">
        <v>44202</v>
      </c>
      <c r="E134" t="s">
        <v>15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10</v>
      </c>
      <c r="Q134" t="str">
        <f>IF(P134=0,"normal",IF(AND(P134&gt;=1,P134&lt;=8),"mild",IF(AND(P134&gt;=9,P134&lt;=15),"moderate",IF(P134&gt;15,"severe",""))))</f>
        <v>moderate</v>
      </c>
      <c r="R134">
        <v>344</v>
      </c>
    </row>
    <row r="135" spans="1:18" x14ac:dyDescent="0.3">
      <c r="A135" s="3" t="s">
        <v>166</v>
      </c>
      <c r="B135">
        <v>58</v>
      </c>
      <c r="C135" t="s">
        <v>10</v>
      </c>
      <c r="D135" s="1">
        <v>44204</v>
      </c>
      <c r="E135" t="s">
        <v>22</v>
      </c>
      <c r="F135" t="s">
        <v>52</v>
      </c>
      <c r="G135" t="s">
        <v>52</v>
      </c>
      <c r="H135" t="s">
        <v>28</v>
      </c>
      <c r="I135" t="s">
        <v>77</v>
      </c>
      <c r="J135" t="s">
        <v>52</v>
      </c>
      <c r="K135">
        <v>2</v>
      </c>
      <c r="L135">
        <v>2</v>
      </c>
      <c r="M135">
        <v>3</v>
      </c>
      <c r="N135">
        <v>1</v>
      </c>
      <c r="O135">
        <v>2</v>
      </c>
      <c r="P135">
        <v>10</v>
      </c>
      <c r="Q135" t="str">
        <f>IF(P135=0,"normal",IF(AND(P135&gt;=1,P135&lt;=8),"mild",IF(AND(P135&gt;=9,P135&lt;=15),"moderate",IF(P135&gt;15,"severe",""))))</f>
        <v>moderate</v>
      </c>
      <c r="R135">
        <v>1514</v>
      </c>
    </row>
    <row r="136" spans="1:18" x14ac:dyDescent="0.3">
      <c r="A136" s="3" t="s">
        <v>167</v>
      </c>
      <c r="B136">
        <v>38</v>
      </c>
      <c r="C136" t="s">
        <v>10</v>
      </c>
      <c r="D136" s="1">
        <v>44366</v>
      </c>
      <c r="E136" t="s">
        <v>15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10</v>
      </c>
      <c r="Q136" t="str">
        <f>IF(P136=0,"normal",IF(AND(P136&gt;=1,P136&lt;=8),"mild",IF(AND(P136&gt;=9,P136&lt;=15),"moderate",IF(P136&gt;15,"severe",""))))</f>
        <v>moderate</v>
      </c>
      <c r="R136">
        <v>351</v>
      </c>
    </row>
    <row r="137" spans="1:18" x14ac:dyDescent="0.3">
      <c r="A137" s="3" t="s">
        <v>168</v>
      </c>
      <c r="B137">
        <v>47</v>
      </c>
      <c r="C137" t="s">
        <v>10</v>
      </c>
      <c r="D137" s="1">
        <v>44539</v>
      </c>
      <c r="E137" t="s">
        <v>11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10</v>
      </c>
      <c r="Q137" t="str">
        <f>IF(P137=0,"normal",IF(AND(P137&gt;=1,P137&lt;=8),"mild",IF(AND(P137&gt;=9,P137&lt;=15),"moderate",IF(P137&gt;15,"severe",""))))</f>
        <v>moderate</v>
      </c>
      <c r="R137">
        <v>1210</v>
      </c>
    </row>
    <row r="138" spans="1:18" x14ac:dyDescent="0.3">
      <c r="A138" s="3" t="s">
        <v>169</v>
      </c>
      <c r="B138">
        <v>66</v>
      </c>
      <c r="C138" t="s">
        <v>10</v>
      </c>
      <c r="D138" s="1">
        <v>44346</v>
      </c>
      <c r="E138" t="s">
        <v>68</v>
      </c>
      <c r="F138" t="s">
        <v>52</v>
      </c>
      <c r="G138" t="s">
        <v>77</v>
      </c>
      <c r="H138" t="s">
        <v>52</v>
      </c>
      <c r="I138" t="s">
        <v>52</v>
      </c>
      <c r="J138" t="s">
        <v>28</v>
      </c>
      <c r="K138">
        <v>2</v>
      </c>
      <c r="L138">
        <v>1</v>
      </c>
      <c r="M138">
        <v>2</v>
      </c>
      <c r="N138">
        <v>2</v>
      </c>
      <c r="O138">
        <v>3</v>
      </c>
      <c r="P138">
        <v>10</v>
      </c>
      <c r="Q138" t="str">
        <f>IF(P138=0,"normal",IF(AND(P138&gt;=1,P138&lt;=8),"mild",IF(AND(P138&gt;=9,P138&lt;=15),"moderate",IF(P138&gt;15,"severe",""))))</f>
        <v>moderate</v>
      </c>
      <c r="R138">
        <v>921</v>
      </c>
    </row>
    <row r="139" spans="1:18" x14ac:dyDescent="0.3">
      <c r="A139" s="3" t="s">
        <v>170</v>
      </c>
      <c r="B139">
        <v>42</v>
      </c>
      <c r="C139" t="s">
        <v>10</v>
      </c>
      <c r="D139" s="1">
        <v>44292</v>
      </c>
      <c r="E139" t="s">
        <v>15</v>
      </c>
      <c r="F139" t="s">
        <v>52</v>
      </c>
      <c r="G139" t="s">
        <v>52</v>
      </c>
      <c r="H139" t="s">
        <v>52</v>
      </c>
      <c r="I139" t="s">
        <v>52</v>
      </c>
      <c r="J139" t="s">
        <v>52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10</v>
      </c>
      <c r="Q139" t="str">
        <f>IF(P139=0,"normal",IF(AND(P139&gt;=1,P139&lt;=8),"mild",IF(AND(P139&gt;=9,P139&lt;=15),"moderate",IF(P139&gt;15,"severe",""))))</f>
        <v>moderate</v>
      </c>
      <c r="R139">
        <v>1021</v>
      </c>
    </row>
    <row r="140" spans="1:18" x14ac:dyDescent="0.3">
      <c r="A140" s="3" t="s">
        <v>171</v>
      </c>
      <c r="B140">
        <v>72</v>
      </c>
      <c r="C140" t="s">
        <v>14</v>
      </c>
      <c r="D140" s="1">
        <v>44473</v>
      </c>
      <c r="E140" t="s">
        <v>15</v>
      </c>
      <c r="F140" t="s">
        <v>52</v>
      </c>
      <c r="G140" t="s">
        <v>52</v>
      </c>
      <c r="H140" t="s">
        <v>52</v>
      </c>
      <c r="I140" t="s">
        <v>52</v>
      </c>
      <c r="J140" t="s">
        <v>52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10</v>
      </c>
      <c r="Q140" t="str">
        <f>IF(P140=0,"normal",IF(AND(P140&gt;=1,P140&lt;=8),"mild",IF(AND(P140&gt;=9,P140&lt;=15),"moderate",IF(P140&gt;15,"severe",""))))</f>
        <v>moderate</v>
      </c>
      <c r="R140">
        <v>1101</v>
      </c>
    </row>
    <row r="141" spans="1:18" x14ac:dyDescent="0.3">
      <c r="A141" s="3" t="s">
        <v>172</v>
      </c>
      <c r="B141">
        <v>58</v>
      </c>
      <c r="C141" t="s">
        <v>14</v>
      </c>
      <c r="D141" s="1">
        <v>44464</v>
      </c>
      <c r="E141" t="s">
        <v>15</v>
      </c>
      <c r="F141" t="s">
        <v>52</v>
      </c>
      <c r="G141" t="s">
        <v>77</v>
      </c>
      <c r="H141" t="s">
        <v>52</v>
      </c>
      <c r="I141" t="s">
        <v>52</v>
      </c>
      <c r="J141" t="s">
        <v>28</v>
      </c>
      <c r="K141">
        <v>2</v>
      </c>
      <c r="L141">
        <v>1</v>
      </c>
      <c r="M141">
        <v>2</v>
      </c>
      <c r="N141">
        <v>2</v>
      </c>
      <c r="O141">
        <v>3</v>
      </c>
      <c r="P141">
        <v>10</v>
      </c>
      <c r="Q141" t="str">
        <f>IF(P141=0,"normal",IF(AND(P141&gt;=1,P141&lt;=8),"mild",IF(AND(P141&gt;=9,P141&lt;=15),"moderate",IF(P141&gt;15,"severe",""))))</f>
        <v>moderate</v>
      </c>
      <c r="R141">
        <v>1441</v>
      </c>
    </row>
    <row r="142" spans="1:18" x14ac:dyDescent="0.3">
      <c r="A142" s="3" t="s">
        <v>173</v>
      </c>
      <c r="B142">
        <v>73</v>
      </c>
      <c r="C142" t="s">
        <v>14</v>
      </c>
      <c r="D142" s="1">
        <v>44202</v>
      </c>
      <c r="E142" t="s">
        <v>15</v>
      </c>
      <c r="F142" t="s">
        <v>52</v>
      </c>
      <c r="G142" t="s">
        <v>52</v>
      </c>
      <c r="H142" t="s">
        <v>52</v>
      </c>
      <c r="I142" t="s">
        <v>52</v>
      </c>
      <c r="J142" t="s">
        <v>52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10</v>
      </c>
      <c r="Q142" t="str">
        <f>IF(P142=0,"normal",IF(AND(P142&gt;=1,P142&lt;=8),"mild",IF(AND(P142&gt;=9,P142&lt;=15),"moderate",IF(P142&gt;15,"severe",""))))</f>
        <v>moderate</v>
      </c>
      <c r="R142">
        <v>1021</v>
      </c>
    </row>
    <row r="143" spans="1:18" x14ac:dyDescent="0.3">
      <c r="A143" s="3" t="s">
        <v>174</v>
      </c>
      <c r="B143">
        <v>60</v>
      </c>
      <c r="C143" t="s">
        <v>10</v>
      </c>
      <c r="D143" s="1">
        <v>44461</v>
      </c>
      <c r="E143" t="s">
        <v>175</v>
      </c>
      <c r="F143" t="s">
        <v>52</v>
      </c>
      <c r="G143" t="s">
        <v>77</v>
      </c>
      <c r="H143" t="s">
        <v>28</v>
      </c>
      <c r="I143" t="s">
        <v>52</v>
      </c>
      <c r="J143" t="s">
        <v>52</v>
      </c>
      <c r="K143">
        <v>2</v>
      </c>
      <c r="L143">
        <v>1</v>
      </c>
      <c r="M143">
        <v>3</v>
      </c>
      <c r="N143">
        <v>2</v>
      </c>
      <c r="O143">
        <v>2</v>
      </c>
      <c r="P143">
        <v>10</v>
      </c>
      <c r="Q143" t="str">
        <f>IF(P143=0,"normal",IF(AND(P143&gt;=1,P143&lt;=8),"mild",IF(AND(P143&gt;=9,P143&lt;=15),"moderate",IF(P143&gt;15,"severe",""))))</f>
        <v>moderate</v>
      </c>
      <c r="R143">
        <v>1141</v>
      </c>
    </row>
    <row r="144" spans="1:18" x14ac:dyDescent="0.3">
      <c r="A144" s="3" t="s">
        <v>176</v>
      </c>
      <c r="B144">
        <v>75</v>
      </c>
      <c r="C144" t="s">
        <v>14</v>
      </c>
      <c r="D144" s="1">
        <v>44327</v>
      </c>
      <c r="E144" t="s">
        <v>15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10</v>
      </c>
      <c r="Q144" t="str">
        <f>IF(P144=0,"normal",IF(AND(P144&gt;=1,P144&lt;=8),"mild",IF(AND(P144&gt;=9,P144&lt;=15),"moderate",IF(P144&gt;15,"severe",""))))</f>
        <v>moderate</v>
      </c>
      <c r="R144">
        <v>1159</v>
      </c>
    </row>
    <row r="145" spans="1:18" x14ac:dyDescent="0.3">
      <c r="A145" s="4" t="s">
        <v>177</v>
      </c>
      <c r="B145">
        <v>55</v>
      </c>
      <c r="C145" t="s">
        <v>10</v>
      </c>
      <c r="D145" s="1">
        <v>44414</v>
      </c>
      <c r="E145" t="s">
        <v>335</v>
      </c>
      <c r="F145" t="str">
        <f t="shared" ref="F145:J146" si="5">IF(K145=0,"0%",IF(K145=1,"&lt;5%",IF(K145=2,"5-25%",IF(K145=3,"26-49%",IF(K145=4,"50-75%",IF(K145=5,"&gt;75%"))))))</f>
        <v>5-25%</v>
      </c>
      <c r="G145" t="str">
        <f t="shared" si="5"/>
        <v>&lt;5%</v>
      </c>
      <c r="H145" t="str">
        <f t="shared" si="5"/>
        <v>26-49%</v>
      </c>
      <c r="I145" t="str">
        <f t="shared" si="5"/>
        <v>5-25%</v>
      </c>
      <c r="J145" t="str">
        <f>IF(O145=0,"0%",IF(O145=1,"&lt;5%",IF(O145=2,"5-25%",IF(O145=3,"26-49%",IF(O145=4,"50-75%",IF(O145=5,"&gt;75%"))))))</f>
        <v>5-25%</v>
      </c>
      <c r="K145">
        <v>2</v>
      </c>
      <c r="L145">
        <v>1</v>
      </c>
      <c r="M145">
        <v>3</v>
      </c>
      <c r="N145">
        <v>2</v>
      </c>
      <c r="O145">
        <v>2</v>
      </c>
      <c r="P145">
        <v>10</v>
      </c>
      <c r="Q145" t="str">
        <f>IF(P145=0,"normal",IF(AND(P145&gt;=1,P145&lt;=8),"mild",IF(AND(P145&gt;=9,P145&lt;=15),"moderate",IF(P145&gt;15,"severe",""))))</f>
        <v>moderate</v>
      </c>
      <c r="R145">
        <v>59</v>
      </c>
    </row>
    <row r="146" spans="1:18" x14ac:dyDescent="0.3">
      <c r="A146" s="4" t="s">
        <v>178</v>
      </c>
      <c r="B146">
        <v>46</v>
      </c>
      <c r="C146" t="s">
        <v>10</v>
      </c>
      <c r="D146" s="1">
        <v>44383</v>
      </c>
      <c r="E146" t="s">
        <v>335</v>
      </c>
      <c r="F146" t="str">
        <f t="shared" si="5"/>
        <v>5-25%</v>
      </c>
      <c r="G146" t="str">
        <f t="shared" si="5"/>
        <v>5-25%</v>
      </c>
      <c r="H146" t="str">
        <f t="shared" si="5"/>
        <v>5-25%</v>
      </c>
      <c r="I146" t="str">
        <f t="shared" si="5"/>
        <v>5-25%</v>
      </c>
      <c r="J146" t="str">
        <f t="shared" si="5"/>
        <v>5-25%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10</v>
      </c>
      <c r="Q146" t="str">
        <f>IF(P146=0,"normal",IF(AND(P146&gt;=1,P146&lt;=8),"mild",IF(AND(P146&gt;=9,P146&lt;=15),"moderate",IF(P146&gt;15,"severe",""))))</f>
        <v>moderate</v>
      </c>
      <c r="R146">
        <v>68</v>
      </c>
    </row>
    <row r="147" spans="1:18" x14ac:dyDescent="0.3">
      <c r="A147" s="3" t="s">
        <v>179</v>
      </c>
      <c r="B147">
        <v>56</v>
      </c>
      <c r="C147" t="s">
        <v>10</v>
      </c>
      <c r="D147" s="1">
        <v>44291</v>
      </c>
      <c r="E147" t="s">
        <v>11</v>
      </c>
      <c r="F147" t="s">
        <v>52</v>
      </c>
      <c r="G147" t="s">
        <v>52</v>
      </c>
      <c r="H147" t="s">
        <v>77</v>
      </c>
      <c r="I147" t="s">
        <v>52</v>
      </c>
      <c r="J147" t="s">
        <v>52</v>
      </c>
      <c r="K147">
        <v>2</v>
      </c>
      <c r="L147">
        <v>2</v>
      </c>
      <c r="M147">
        <v>1</v>
      </c>
      <c r="N147">
        <v>2</v>
      </c>
      <c r="O147">
        <v>2</v>
      </c>
      <c r="P147">
        <v>9</v>
      </c>
      <c r="Q147" t="str">
        <f>IF(P147=0,"normal",IF(AND(P147&gt;=1,P147&lt;=8),"mild",IF(AND(P147&gt;=9,P147&lt;=15),"moderate",IF(P147&gt;15,"severe",""))))</f>
        <v>moderate</v>
      </c>
      <c r="R147">
        <v>1181</v>
      </c>
    </row>
    <row r="148" spans="1:18" x14ac:dyDescent="0.3">
      <c r="A148" s="3" t="s">
        <v>180</v>
      </c>
      <c r="B148">
        <v>32</v>
      </c>
      <c r="C148" t="s">
        <v>10</v>
      </c>
      <c r="D148" s="1">
        <v>44344</v>
      </c>
      <c r="E148" t="s">
        <v>181</v>
      </c>
      <c r="F148" t="s">
        <v>77</v>
      </c>
      <c r="G148" t="s">
        <v>52</v>
      </c>
      <c r="H148" t="s">
        <v>52</v>
      </c>
      <c r="I148" t="s">
        <v>52</v>
      </c>
      <c r="J148" t="s">
        <v>52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9</v>
      </c>
      <c r="Q148" t="str">
        <f>IF(P148=0,"normal",IF(AND(P148&gt;=1,P148&lt;=8),"mild",IF(AND(P148&gt;=9,P148&lt;=15),"moderate",IF(P148&gt;15,"severe",""))))</f>
        <v>moderate</v>
      </c>
      <c r="R148">
        <v>941</v>
      </c>
    </row>
    <row r="149" spans="1:18" x14ac:dyDescent="0.3">
      <c r="A149" s="3" t="s">
        <v>182</v>
      </c>
      <c r="B149">
        <v>38</v>
      </c>
      <c r="C149" t="s">
        <v>14</v>
      </c>
      <c r="D149" s="1">
        <v>44336</v>
      </c>
      <c r="E149" t="s">
        <v>15</v>
      </c>
      <c r="F149" t="s">
        <v>52</v>
      </c>
      <c r="G149" s="2">
        <v>0</v>
      </c>
      <c r="H149" t="s">
        <v>28</v>
      </c>
      <c r="I149" t="s">
        <v>77</v>
      </c>
      <c r="J149" t="s">
        <v>28</v>
      </c>
      <c r="K149">
        <v>2</v>
      </c>
      <c r="L149">
        <v>0</v>
      </c>
      <c r="M149">
        <v>3</v>
      </c>
      <c r="N149">
        <v>1</v>
      </c>
      <c r="O149">
        <v>3</v>
      </c>
      <c r="P149">
        <v>9</v>
      </c>
      <c r="Q149" t="str">
        <f>IF(P149=0,"normal",IF(AND(P149&gt;=1,P149&lt;=8),"mild",IF(AND(P149&gt;=9,P149&lt;=15),"moderate",IF(P149&gt;15,"severe",""))))</f>
        <v>moderate</v>
      </c>
      <c r="R149">
        <v>941</v>
      </c>
    </row>
    <row r="150" spans="1:18" x14ac:dyDescent="0.3">
      <c r="A150" s="3" t="s">
        <v>183</v>
      </c>
      <c r="B150">
        <v>62</v>
      </c>
      <c r="C150" t="s">
        <v>14</v>
      </c>
      <c r="D150" s="1">
        <v>44201</v>
      </c>
      <c r="E150" t="s">
        <v>22</v>
      </c>
      <c r="F150" t="s">
        <v>52</v>
      </c>
      <c r="G150" t="s">
        <v>77</v>
      </c>
      <c r="H150" t="s">
        <v>52</v>
      </c>
      <c r="I150" t="s">
        <v>52</v>
      </c>
      <c r="J150" t="s">
        <v>52</v>
      </c>
      <c r="K150">
        <v>2</v>
      </c>
      <c r="L150">
        <v>1</v>
      </c>
      <c r="M150">
        <v>2</v>
      </c>
      <c r="N150">
        <v>2</v>
      </c>
      <c r="O150">
        <v>2</v>
      </c>
      <c r="P150">
        <v>9</v>
      </c>
      <c r="Q150" t="str">
        <f>IF(P150=0,"normal",IF(AND(P150&gt;=1,P150&lt;=8),"mild",IF(AND(P150&gt;=9,P150&lt;=15),"moderate",IF(P150&gt;15,"severe",""))))</f>
        <v>moderate</v>
      </c>
      <c r="R150">
        <v>881</v>
      </c>
    </row>
    <row r="151" spans="1:18" x14ac:dyDescent="0.3">
      <c r="A151" s="3" t="s">
        <v>184</v>
      </c>
      <c r="B151">
        <v>31</v>
      </c>
      <c r="C151" t="s">
        <v>10</v>
      </c>
      <c r="D151" s="1">
        <v>44201</v>
      </c>
      <c r="E151" t="s">
        <v>22</v>
      </c>
      <c r="F151" t="s">
        <v>52</v>
      </c>
      <c r="G151" t="s">
        <v>77</v>
      </c>
      <c r="H151" t="s">
        <v>52</v>
      </c>
      <c r="I151" t="s">
        <v>52</v>
      </c>
      <c r="J151" t="s">
        <v>52</v>
      </c>
      <c r="K151">
        <v>2</v>
      </c>
      <c r="L151">
        <v>1</v>
      </c>
      <c r="M151">
        <v>2</v>
      </c>
      <c r="N151">
        <v>2</v>
      </c>
      <c r="O151">
        <v>2</v>
      </c>
      <c r="P151">
        <v>9</v>
      </c>
      <c r="Q151" t="str">
        <f>IF(P151=0,"normal",IF(AND(P151&gt;=1,P151&lt;=8),"mild",IF(AND(P151&gt;=9,P151&lt;=15),"moderate",IF(P151&gt;15,"severe",""))))</f>
        <v>moderate</v>
      </c>
      <c r="R151">
        <v>1061</v>
      </c>
    </row>
    <row r="152" spans="1:18" x14ac:dyDescent="0.3">
      <c r="A152" s="3" t="s">
        <v>185</v>
      </c>
      <c r="B152">
        <v>41</v>
      </c>
      <c r="C152" t="s">
        <v>10</v>
      </c>
      <c r="D152" s="1">
        <v>44454</v>
      </c>
      <c r="E152" t="s">
        <v>68</v>
      </c>
      <c r="F152" t="s">
        <v>52</v>
      </c>
      <c r="G152" t="s">
        <v>77</v>
      </c>
      <c r="H152" t="s">
        <v>28</v>
      </c>
      <c r="I152" t="s">
        <v>77</v>
      </c>
      <c r="J152" t="s">
        <v>52</v>
      </c>
      <c r="K152">
        <v>2</v>
      </c>
      <c r="L152">
        <v>1</v>
      </c>
      <c r="M152">
        <v>3</v>
      </c>
      <c r="N152">
        <v>1</v>
      </c>
      <c r="O152">
        <v>2</v>
      </c>
      <c r="P152">
        <v>9</v>
      </c>
      <c r="Q152" t="str">
        <f>IF(P152=0,"normal",IF(AND(P152&gt;=1,P152&lt;=8),"mild",IF(AND(P152&gt;=9,P152&lt;=15),"moderate",IF(P152&gt;15,"severe",""))))</f>
        <v>moderate</v>
      </c>
      <c r="R152">
        <v>1041</v>
      </c>
    </row>
    <row r="153" spans="1:18" x14ac:dyDescent="0.3">
      <c r="A153" s="3" t="s">
        <v>186</v>
      </c>
      <c r="B153">
        <v>53</v>
      </c>
      <c r="C153" t="s">
        <v>10</v>
      </c>
      <c r="D153" s="1">
        <v>44340</v>
      </c>
      <c r="E153" t="s">
        <v>68</v>
      </c>
      <c r="F153" t="s">
        <v>52</v>
      </c>
      <c r="G153" t="s">
        <v>77</v>
      </c>
      <c r="H153" t="s">
        <v>52</v>
      </c>
      <c r="I153" t="s">
        <v>52</v>
      </c>
      <c r="J153" t="s">
        <v>52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9</v>
      </c>
      <c r="Q153" t="str">
        <f>IF(P153=0,"normal",IF(AND(P153&gt;=1,P153&lt;=8),"mild",IF(AND(P153&gt;=9,P153&lt;=15),"moderate",IF(P153&gt;15,"severe",""))))</f>
        <v>moderate</v>
      </c>
      <c r="R153">
        <v>1381</v>
      </c>
    </row>
    <row r="154" spans="1:18" x14ac:dyDescent="0.3">
      <c r="A154" s="3" t="s">
        <v>187</v>
      </c>
      <c r="B154">
        <v>45</v>
      </c>
      <c r="C154" t="s">
        <v>14</v>
      </c>
      <c r="D154" s="1">
        <v>44323</v>
      </c>
      <c r="E154" t="s">
        <v>68</v>
      </c>
      <c r="F154" t="s">
        <v>52</v>
      </c>
      <c r="G154" t="s">
        <v>77</v>
      </c>
      <c r="H154" t="s">
        <v>52</v>
      </c>
      <c r="I154" t="s">
        <v>52</v>
      </c>
      <c r="J154" t="s">
        <v>52</v>
      </c>
      <c r="K154">
        <v>2</v>
      </c>
      <c r="L154">
        <v>1</v>
      </c>
      <c r="M154">
        <v>2</v>
      </c>
      <c r="N154">
        <v>2</v>
      </c>
      <c r="O154">
        <v>2</v>
      </c>
      <c r="P154">
        <v>9</v>
      </c>
      <c r="Q154" t="str">
        <f>IF(P154=0,"normal",IF(AND(P154&gt;=1,P154&lt;=8),"mild",IF(AND(P154&gt;=9,P154&lt;=15),"moderate",IF(P154&gt;15,"severe",""))))</f>
        <v>moderate</v>
      </c>
      <c r="R154">
        <v>981</v>
      </c>
    </row>
    <row r="155" spans="1:18" x14ac:dyDescent="0.3">
      <c r="A155" s="3" t="s">
        <v>188</v>
      </c>
      <c r="B155">
        <v>50</v>
      </c>
      <c r="C155" t="s">
        <v>14</v>
      </c>
      <c r="D155" s="1">
        <v>44231</v>
      </c>
      <c r="E155" t="s">
        <v>15</v>
      </c>
      <c r="F155" t="s">
        <v>52</v>
      </c>
      <c r="G155" t="s">
        <v>77</v>
      </c>
      <c r="H155" t="s">
        <v>52</v>
      </c>
      <c r="I155" t="s">
        <v>52</v>
      </c>
      <c r="J155" t="s">
        <v>52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9</v>
      </c>
      <c r="Q155" t="str">
        <f>IF(P155=0,"normal",IF(AND(P155&gt;=1,P155&lt;=8),"mild",IF(AND(P155&gt;=9,P155&lt;=15),"moderate",IF(P155&gt;15,"severe",""))))</f>
        <v>moderate</v>
      </c>
      <c r="R155">
        <v>981</v>
      </c>
    </row>
    <row r="156" spans="1:18" x14ac:dyDescent="0.3">
      <c r="A156" s="3" t="s">
        <v>189</v>
      </c>
      <c r="B156">
        <v>37</v>
      </c>
      <c r="C156" t="s">
        <v>10</v>
      </c>
      <c r="D156" s="1">
        <v>44423</v>
      </c>
      <c r="E156" t="s">
        <v>190</v>
      </c>
      <c r="F156" t="s">
        <v>52</v>
      </c>
      <c r="G156" t="s">
        <v>77</v>
      </c>
      <c r="H156" t="s">
        <v>28</v>
      </c>
      <c r="I156" t="s">
        <v>77</v>
      </c>
      <c r="J156" t="s">
        <v>52</v>
      </c>
      <c r="K156">
        <v>2</v>
      </c>
      <c r="L156">
        <v>1</v>
      </c>
      <c r="M156">
        <v>3</v>
      </c>
      <c r="N156">
        <v>1</v>
      </c>
      <c r="O156">
        <v>2</v>
      </c>
      <c r="P156">
        <v>9</v>
      </c>
      <c r="Q156" t="str">
        <f>IF(P156=0,"normal",IF(AND(P156&gt;=1,P156&lt;=8),"mild",IF(AND(P156&gt;=9,P156&lt;=15),"moderate",IF(P156&gt;15,"severe",""))))</f>
        <v>moderate</v>
      </c>
      <c r="R156">
        <v>1261</v>
      </c>
    </row>
    <row r="157" spans="1:18" x14ac:dyDescent="0.3">
      <c r="A157" s="4" t="s">
        <v>191</v>
      </c>
      <c r="B157">
        <v>70</v>
      </c>
      <c r="C157" t="s">
        <v>10</v>
      </c>
      <c r="D157" s="1">
        <v>44506</v>
      </c>
      <c r="E157" t="s">
        <v>338</v>
      </c>
      <c r="F157" t="str">
        <f t="shared" ref="F157:J161" si="6">IF(K157=0,"0%",IF(K157=1,"&lt;5%",IF(K157=2,"5-25%",IF(K157=3,"26-49%",IF(K157=4,"50-75%",IF(K157=5,"&gt;75%"))))))</f>
        <v>5-25%</v>
      </c>
      <c r="G157" t="str">
        <f t="shared" si="6"/>
        <v>&lt;5%</v>
      </c>
      <c r="H157" t="str">
        <f t="shared" si="6"/>
        <v>5-25%</v>
      </c>
      <c r="I157" t="str">
        <f t="shared" si="6"/>
        <v>5-25%</v>
      </c>
      <c r="J157" t="str">
        <f t="shared" si="6"/>
        <v>5-25%</v>
      </c>
      <c r="K157">
        <v>2</v>
      </c>
      <c r="L157">
        <v>1</v>
      </c>
      <c r="M157">
        <v>2</v>
      </c>
      <c r="N157">
        <v>2</v>
      </c>
      <c r="O157">
        <v>2</v>
      </c>
      <c r="P157">
        <v>9</v>
      </c>
      <c r="Q157" t="str">
        <f>IF(P157=0,"normal",IF(AND(P157&gt;=1,P157&lt;=8),"mild",IF(AND(P157&gt;=9,P157&lt;=15),"moderate",IF(P157&gt;15,"severe",""))))</f>
        <v>moderate</v>
      </c>
      <c r="R157">
        <v>61</v>
      </c>
    </row>
    <row r="158" spans="1:18" x14ac:dyDescent="0.3">
      <c r="A158" s="4" t="s">
        <v>192</v>
      </c>
      <c r="B158">
        <v>29</v>
      </c>
      <c r="C158" t="s">
        <v>10</v>
      </c>
      <c r="D158" s="1">
        <v>44445</v>
      </c>
      <c r="E158" t="s">
        <v>339</v>
      </c>
      <c r="F158" t="str">
        <f t="shared" si="6"/>
        <v>&lt;5%</v>
      </c>
      <c r="G158" t="str">
        <f t="shared" si="6"/>
        <v>5-25%</v>
      </c>
      <c r="H158" t="str">
        <f t="shared" si="6"/>
        <v>5-25%</v>
      </c>
      <c r="I158" t="str">
        <f t="shared" si="6"/>
        <v>5-25%</v>
      </c>
      <c r="J158" t="str">
        <f t="shared" si="6"/>
        <v>5-25%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9</v>
      </c>
      <c r="Q158" t="str">
        <f>IF(P158=0,"normal",IF(AND(P158&gt;=1,P158&lt;=8),"mild",IF(AND(P158&gt;=9,P158&lt;=15),"moderate",IF(P158&gt;15,"severe",""))))</f>
        <v>moderate</v>
      </c>
      <c r="R158">
        <v>77</v>
      </c>
    </row>
    <row r="159" spans="1:18" x14ac:dyDescent="0.3">
      <c r="A159" s="4" t="s">
        <v>193</v>
      </c>
      <c r="B159">
        <v>48</v>
      </c>
      <c r="C159" t="s">
        <v>14</v>
      </c>
      <c r="D159" s="1">
        <v>44475</v>
      </c>
      <c r="E159" t="s">
        <v>335</v>
      </c>
      <c r="F159" t="str">
        <f t="shared" si="6"/>
        <v>5-25%</v>
      </c>
      <c r="G159" t="str">
        <f t="shared" si="6"/>
        <v>&lt;5%</v>
      </c>
      <c r="H159" t="str">
        <f t="shared" si="6"/>
        <v>5-25%</v>
      </c>
      <c r="I159" t="str">
        <f t="shared" si="6"/>
        <v>5-25%</v>
      </c>
      <c r="J159" t="str">
        <f t="shared" si="6"/>
        <v>5-25%</v>
      </c>
      <c r="K159">
        <v>2</v>
      </c>
      <c r="L159">
        <v>1</v>
      </c>
      <c r="M159">
        <v>2</v>
      </c>
      <c r="N159">
        <v>2</v>
      </c>
      <c r="O159">
        <v>2</v>
      </c>
      <c r="P159">
        <v>9</v>
      </c>
      <c r="Q159" t="str">
        <f>IF(P159=0,"normal",IF(AND(P159&gt;=1,P159&lt;=8),"mild",IF(AND(P159&gt;=9,P159&lt;=15),"moderate",IF(P159&gt;15,"severe",""))))</f>
        <v>moderate</v>
      </c>
      <c r="R159">
        <v>63</v>
      </c>
    </row>
    <row r="160" spans="1:18" x14ac:dyDescent="0.3">
      <c r="A160" s="4" t="s">
        <v>194</v>
      </c>
      <c r="B160">
        <v>55</v>
      </c>
      <c r="C160" t="s">
        <v>14</v>
      </c>
      <c r="D160" s="1">
        <v>44362</v>
      </c>
      <c r="E160" t="s">
        <v>335</v>
      </c>
      <c r="F160" t="str">
        <f t="shared" si="6"/>
        <v>5-25%</v>
      </c>
      <c r="G160" t="str">
        <f t="shared" si="6"/>
        <v>&lt;5%</v>
      </c>
      <c r="H160" t="str">
        <f t="shared" si="6"/>
        <v>5-25%</v>
      </c>
      <c r="I160" t="str">
        <f t="shared" si="6"/>
        <v>5-25%</v>
      </c>
      <c r="J160" t="str">
        <f t="shared" si="6"/>
        <v>5-25%</v>
      </c>
      <c r="K160">
        <v>2</v>
      </c>
      <c r="L160">
        <v>1</v>
      </c>
      <c r="M160">
        <v>2</v>
      </c>
      <c r="N160">
        <v>2</v>
      </c>
      <c r="O160">
        <v>2</v>
      </c>
      <c r="P160">
        <v>9</v>
      </c>
      <c r="Q160" t="str">
        <f>IF(P160=0,"normal",IF(AND(P160&gt;=1,P160&lt;=8),"mild",IF(AND(P160&gt;=9,P160&lt;=15),"moderate",IF(P160&gt;15,"severe",""))))</f>
        <v>moderate</v>
      </c>
      <c r="R160">
        <v>60</v>
      </c>
    </row>
    <row r="161" spans="1:18" x14ac:dyDescent="0.3">
      <c r="A161" s="4" t="s">
        <v>195</v>
      </c>
      <c r="B161">
        <v>55</v>
      </c>
      <c r="C161" t="s">
        <v>10</v>
      </c>
      <c r="D161" s="1">
        <v>44445</v>
      </c>
      <c r="E161" t="s">
        <v>333</v>
      </c>
      <c r="F161" t="str">
        <f t="shared" si="6"/>
        <v>5-25%</v>
      </c>
      <c r="G161" t="str">
        <f t="shared" si="6"/>
        <v>&lt;5%</v>
      </c>
      <c r="H161" t="str">
        <f t="shared" si="6"/>
        <v>5-25%</v>
      </c>
      <c r="I161" t="str">
        <f t="shared" si="6"/>
        <v>5-25%</v>
      </c>
      <c r="J161" t="str">
        <f t="shared" si="6"/>
        <v>5-25%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9</v>
      </c>
      <c r="Q161" t="str">
        <f>IF(P161=0,"normal",IF(AND(P161&gt;=1,P161&lt;=8),"mild",IF(AND(P161&gt;=9,P161&lt;=15),"moderate",IF(P161&gt;15,"severe",""))))</f>
        <v>moderate</v>
      </c>
      <c r="R161">
        <v>66</v>
      </c>
    </row>
    <row r="162" spans="1:18" x14ac:dyDescent="0.3">
      <c r="A162" s="3" t="s">
        <v>196</v>
      </c>
      <c r="B162">
        <v>61</v>
      </c>
      <c r="C162" t="s">
        <v>10</v>
      </c>
      <c r="D162" s="1">
        <v>44202</v>
      </c>
      <c r="E162" t="s">
        <v>68</v>
      </c>
      <c r="F162" t="s">
        <v>52</v>
      </c>
      <c r="G162" t="s">
        <v>52</v>
      </c>
      <c r="H162" t="s">
        <v>52</v>
      </c>
      <c r="I162" t="s">
        <v>77</v>
      </c>
      <c r="J162" t="s">
        <v>77</v>
      </c>
      <c r="K162">
        <v>2</v>
      </c>
      <c r="L162">
        <v>2</v>
      </c>
      <c r="M162">
        <v>2</v>
      </c>
      <c r="N162">
        <v>1</v>
      </c>
      <c r="O162">
        <v>1</v>
      </c>
      <c r="P162">
        <v>8</v>
      </c>
      <c r="Q162" t="str">
        <f>IF(P162=0,"normal",IF(AND(P162&gt;=1,P162&lt;=8),"mild",IF(AND(P162&gt;=9,P162&lt;=15),"moderate",IF(P162&gt;15,"severe",""))))</f>
        <v>mild</v>
      </c>
      <c r="R162">
        <v>1301</v>
      </c>
    </row>
    <row r="163" spans="1:18" x14ac:dyDescent="0.3">
      <c r="A163" s="3" t="s">
        <v>197</v>
      </c>
      <c r="B163">
        <v>27</v>
      </c>
      <c r="C163" t="s">
        <v>10</v>
      </c>
      <c r="D163" s="1">
        <v>44457</v>
      </c>
      <c r="E163" t="s">
        <v>15</v>
      </c>
      <c r="F163" t="s">
        <v>77</v>
      </c>
      <c r="G163" t="s">
        <v>52</v>
      </c>
      <c r="H163" t="s">
        <v>52</v>
      </c>
      <c r="I163" t="s">
        <v>52</v>
      </c>
      <c r="J163" t="s">
        <v>77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8</v>
      </c>
      <c r="Q163" t="str">
        <f>IF(P163=0,"normal",IF(AND(P163&gt;=1,P163&lt;=8),"mild",IF(AND(P163&gt;=9,P163&lt;=15),"moderate",IF(P163&gt;15,"severe",""))))</f>
        <v>mild</v>
      </c>
      <c r="R163">
        <v>84</v>
      </c>
    </row>
    <row r="164" spans="1:18" x14ac:dyDescent="0.3">
      <c r="A164" s="3" t="s">
        <v>198</v>
      </c>
      <c r="B164">
        <v>46</v>
      </c>
      <c r="C164" t="s">
        <v>10</v>
      </c>
      <c r="D164" s="1">
        <v>44438</v>
      </c>
      <c r="E164" t="s">
        <v>15</v>
      </c>
      <c r="F164" t="s">
        <v>77</v>
      </c>
      <c r="G164" t="s">
        <v>77</v>
      </c>
      <c r="H164" t="s">
        <v>52</v>
      </c>
      <c r="I164" t="s">
        <v>52</v>
      </c>
      <c r="J164" t="s">
        <v>52</v>
      </c>
      <c r="K164">
        <v>1</v>
      </c>
      <c r="L164">
        <v>1</v>
      </c>
      <c r="M164">
        <v>2</v>
      </c>
      <c r="N164">
        <v>2</v>
      </c>
      <c r="O164">
        <v>2</v>
      </c>
      <c r="P164">
        <v>8</v>
      </c>
      <c r="Q164" t="str">
        <f>IF(P164=0,"normal",IF(AND(P164&gt;=1,P164&lt;=8),"mild",IF(AND(P164&gt;=9,P164&lt;=15),"moderate",IF(P164&gt;15,"severe",""))))</f>
        <v>mild</v>
      </c>
      <c r="R164">
        <v>1176</v>
      </c>
    </row>
    <row r="165" spans="1:18" x14ac:dyDescent="0.3">
      <c r="A165" s="3" t="s">
        <v>199</v>
      </c>
      <c r="B165">
        <v>40</v>
      </c>
      <c r="C165" t="s">
        <v>14</v>
      </c>
      <c r="D165" s="1">
        <v>44461</v>
      </c>
      <c r="E165" t="s">
        <v>15</v>
      </c>
      <c r="F165" t="s">
        <v>77</v>
      </c>
      <c r="G165" t="s">
        <v>77</v>
      </c>
      <c r="H165" t="s">
        <v>52</v>
      </c>
      <c r="I165" t="s">
        <v>52</v>
      </c>
      <c r="J165" t="s">
        <v>52</v>
      </c>
      <c r="K165">
        <v>1</v>
      </c>
      <c r="L165">
        <v>1</v>
      </c>
      <c r="M165">
        <v>2</v>
      </c>
      <c r="N165">
        <v>2</v>
      </c>
      <c r="O165">
        <v>2</v>
      </c>
      <c r="P165">
        <v>8</v>
      </c>
      <c r="Q165" t="str">
        <f>IF(P165=0,"normal",IF(AND(P165&gt;=1,P165&lt;=8),"mild",IF(AND(P165&gt;=9,P165&lt;=15),"moderate",IF(P165&gt;15,"severe",""))))</f>
        <v>mild</v>
      </c>
      <c r="R165">
        <v>1019</v>
      </c>
    </row>
    <row r="166" spans="1:18" x14ac:dyDescent="0.3">
      <c r="A166" s="3" t="s">
        <v>200</v>
      </c>
      <c r="B166">
        <v>55</v>
      </c>
      <c r="C166" t="s">
        <v>14</v>
      </c>
      <c r="D166" s="1">
        <v>44340</v>
      </c>
      <c r="E166" t="s">
        <v>201</v>
      </c>
      <c r="F166" t="s">
        <v>52</v>
      </c>
      <c r="G166" t="s">
        <v>52</v>
      </c>
      <c r="H166" t="s">
        <v>28</v>
      </c>
      <c r="I166" s="2">
        <v>0</v>
      </c>
      <c r="J166" t="s">
        <v>77</v>
      </c>
      <c r="K166">
        <v>2</v>
      </c>
      <c r="L166">
        <v>2</v>
      </c>
      <c r="M166">
        <v>3</v>
      </c>
      <c r="N166">
        <v>0</v>
      </c>
      <c r="O166">
        <v>1</v>
      </c>
      <c r="P166">
        <v>8</v>
      </c>
      <c r="Q166" t="str">
        <f>IF(P166=0,"normal",IF(AND(P166&gt;=1,P166&lt;=8),"mild",IF(AND(P166&gt;=9,P166&lt;=15),"moderate",IF(P166&gt;15,"severe",""))))</f>
        <v>mild</v>
      </c>
      <c r="R166">
        <v>1261</v>
      </c>
    </row>
    <row r="167" spans="1:18" x14ac:dyDescent="0.3">
      <c r="A167" s="3" t="s">
        <v>202</v>
      </c>
      <c r="B167">
        <v>51</v>
      </c>
      <c r="C167" t="s">
        <v>10</v>
      </c>
      <c r="D167" s="1">
        <v>44306</v>
      </c>
      <c r="E167" t="s">
        <v>15</v>
      </c>
      <c r="F167" t="s">
        <v>77</v>
      </c>
      <c r="G167" t="s">
        <v>77</v>
      </c>
      <c r="H167" t="s">
        <v>52</v>
      </c>
      <c r="I167" t="s">
        <v>52</v>
      </c>
      <c r="J167" t="s">
        <v>52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8</v>
      </c>
      <c r="Q167" t="str">
        <f>IF(P167=0,"normal",IF(AND(P167&gt;=1,P167&lt;=8),"mild",IF(AND(P167&gt;=9,P167&lt;=15),"moderate",IF(P167&gt;15,"severe",""))))</f>
        <v>mild</v>
      </c>
      <c r="R167">
        <v>1141</v>
      </c>
    </row>
    <row r="168" spans="1:18" x14ac:dyDescent="0.3">
      <c r="A168" s="3" t="s">
        <v>203</v>
      </c>
      <c r="B168">
        <v>73</v>
      </c>
      <c r="C168" t="s">
        <v>10</v>
      </c>
      <c r="D168" s="1">
        <v>44456</v>
      </c>
      <c r="E168" t="s">
        <v>15</v>
      </c>
      <c r="F168" t="s">
        <v>77</v>
      </c>
      <c r="G168" t="s">
        <v>77</v>
      </c>
      <c r="H168" t="s">
        <v>52</v>
      </c>
      <c r="I168" t="s">
        <v>52</v>
      </c>
      <c r="J168" t="s">
        <v>52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8</v>
      </c>
      <c r="Q168" t="str">
        <f>IF(P168=0,"normal",IF(AND(P168&gt;=1,P168&lt;=8),"mild",IF(AND(P168&gt;=9,P168&lt;=15),"moderate",IF(P168&gt;15,"severe",""))))</f>
        <v>mild</v>
      </c>
      <c r="R168">
        <v>1201</v>
      </c>
    </row>
    <row r="169" spans="1:18" x14ac:dyDescent="0.3">
      <c r="A169" s="3" t="s">
        <v>204</v>
      </c>
      <c r="B169">
        <v>37</v>
      </c>
      <c r="C169" t="s">
        <v>10</v>
      </c>
      <c r="D169" s="1">
        <v>44259</v>
      </c>
      <c r="E169" t="s">
        <v>15</v>
      </c>
      <c r="F169" t="s">
        <v>77</v>
      </c>
      <c r="G169" t="s">
        <v>77</v>
      </c>
      <c r="H169" t="s">
        <v>52</v>
      </c>
      <c r="I169" t="s">
        <v>52</v>
      </c>
      <c r="J169" t="s">
        <v>52</v>
      </c>
      <c r="K169">
        <v>1</v>
      </c>
      <c r="L169">
        <v>1</v>
      </c>
      <c r="M169">
        <v>2</v>
      </c>
      <c r="N169">
        <v>2</v>
      </c>
      <c r="O169">
        <v>2</v>
      </c>
      <c r="P169">
        <v>8</v>
      </c>
      <c r="Q169" t="str">
        <f>IF(P169=0,"normal",IF(AND(P169&gt;=1,P169&lt;=8),"mild",IF(AND(P169&gt;=9,P169&lt;=15),"moderate",IF(P169&gt;15,"severe",""))))</f>
        <v>mild</v>
      </c>
      <c r="R169">
        <v>1241</v>
      </c>
    </row>
    <row r="170" spans="1:18" x14ac:dyDescent="0.3">
      <c r="A170" s="3" t="s">
        <v>205</v>
      </c>
      <c r="B170">
        <v>35</v>
      </c>
      <c r="C170" t="s">
        <v>14</v>
      </c>
      <c r="D170" s="1">
        <v>44457</v>
      </c>
      <c r="E170" t="s">
        <v>15</v>
      </c>
      <c r="F170" t="s">
        <v>77</v>
      </c>
      <c r="G170" t="s">
        <v>77</v>
      </c>
      <c r="H170" t="s">
        <v>52</v>
      </c>
      <c r="I170" t="s">
        <v>52</v>
      </c>
      <c r="J170" t="s">
        <v>52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8</v>
      </c>
      <c r="Q170" t="str">
        <f>IF(P170=0,"normal",IF(AND(P170&gt;=1,P170&lt;=8),"mild",IF(AND(P170&gt;=9,P170&lt;=15),"moderate",IF(P170&gt;15,"severe",""))))</f>
        <v>mild</v>
      </c>
      <c r="R170">
        <v>1081</v>
      </c>
    </row>
    <row r="171" spans="1:18" x14ac:dyDescent="0.3">
      <c r="A171" s="3" t="s">
        <v>206</v>
      </c>
      <c r="B171">
        <v>13</v>
      </c>
      <c r="C171" t="s">
        <v>10</v>
      </c>
      <c r="D171" s="1">
        <v>44292</v>
      </c>
      <c r="E171" t="s">
        <v>68</v>
      </c>
      <c r="F171" t="s">
        <v>77</v>
      </c>
      <c r="G171" t="s">
        <v>77</v>
      </c>
      <c r="H171" t="s">
        <v>77</v>
      </c>
      <c r="I171" t="s">
        <v>52</v>
      </c>
      <c r="J171" t="s">
        <v>28</v>
      </c>
      <c r="K171">
        <v>1</v>
      </c>
      <c r="L171">
        <v>1</v>
      </c>
      <c r="M171">
        <v>1</v>
      </c>
      <c r="N171">
        <v>2</v>
      </c>
      <c r="O171">
        <v>3</v>
      </c>
      <c r="P171">
        <v>8</v>
      </c>
      <c r="Q171" t="str">
        <f>IF(P171=0,"normal",IF(AND(P171&gt;=1,P171&lt;=8),"mild",IF(AND(P171&gt;=9,P171&lt;=15),"moderate",IF(P171&gt;15,"severe",""))))</f>
        <v>mild</v>
      </c>
      <c r="R171">
        <v>1248</v>
      </c>
    </row>
    <row r="172" spans="1:18" x14ac:dyDescent="0.3">
      <c r="A172" s="3" t="s">
        <v>207</v>
      </c>
      <c r="B172">
        <v>48</v>
      </c>
      <c r="C172" t="s">
        <v>14</v>
      </c>
      <c r="D172" s="1">
        <v>44356</v>
      </c>
      <c r="E172" t="s">
        <v>208</v>
      </c>
      <c r="F172" t="s">
        <v>52</v>
      </c>
      <c r="G172" s="2">
        <v>0</v>
      </c>
      <c r="H172" t="s">
        <v>52</v>
      </c>
      <c r="I172" t="s">
        <v>52</v>
      </c>
      <c r="J172" t="s">
        <v>52</v>
      </c>
      <c r="K172">
        <v>2</v>
      </c>
      <c r="L172">
        <v>0</v>
      </c>
      <c r="M172">
        <v>2</v>
      </c>
      <c r="N172">
        <v>2</v>
      </c>
      <c r="O172">
        <v>2</v>
      </c>
      <c r="P172">
        <v>8</v>
      </c>
      <c r="Q172" t="str">
        <f>IF(P172=0,"normal",IF(AND(P172&gt;=1,P172&lt;=8),"mild",IF(AND(P172&gt;=9,P172&lt;=15),"moderate",IF(P172&gt;15,"severe",""))))</f>
        <v>mild</v>
      </c>
      <c r="R172">
        <v>357</v>
      </c>
    </row>
    <row r="173" spans="1:18" x14ac:dyDescent="0.3">
      <c r="A173" s="3" t="s">
        <v>209</v>
      </c>
      <c r="B173">
        <v>8</v>
      </c>
      <c r="C173" t="s">
        <v>14</v>
      </c>
      <c r="D173" s="1">
        <v>44339</v>
      </c>
      <c r="E173" t="s">
        <v>190</v>
      </c>
      <c r="F173" t="str">
        <f t="shared" ref="F173:J176" si="7">IF(K173=0,"0%",IF(K173=1,"&lt;5%",IF(K173=2,"5-25%",IF(K173=3,"26-49%",IF(K173=4,"50-75%",IF(K173=5,"&gt;75%"))))))</f>
        <v>0%</v>
      </c>
      <c r="G173" t="str">
        <f t="shared" si="7"/>
        <v>0%</v>
      </c>
      <c r="H173" t="str">
        <f>IF(M173=0,"0%",IF(M173=1,"&lt;5%",IF(M173=2,"5-25%",IF(M173=3,"26-49%",IF(M173=4,"50-75%",IF(M173=5,"&gt;75%"))))))</f>
        <v>5-25%</v>
      </c>
      <c r="I173" t="str">
        <f t="shared" si="7"/>
        <v>5-25%</v>
      </c>
      <c r="J173" t="str">
        <f t="shared" si="7"/>
        <v>50-75%</v>
      </c>
      <c r="K173">
        <v>0</v>
      </c>
      <c r="L173">
        <v>0</v>
      </c>
      <c r="M173">
        <v>2</v>
      </c>
      <c r="N173">
        <v>2</v>
      </c>
      <c r="O173">
        <v>4</v>
      </c>
      <c r="P173">
        <v>8</v>
      </c>
      <c r="Q173" t="str">
        <f>IF(P173=0,"normal",IF(AND(P173&gt;=1,P173&lt;=8),"mild",IF(AND(P173&gt;=9,P173&lt;=15),"moderate",IF(P173&gt;15,"severe",""))))</f>
        <v>mild</v>
      </c>
      <c r="R173">
        <v>821</v>
      </c>
    </row>
    <row r="174" spans="1:18" x14ac:dyDescent="0.3">
      <c r="A174" s="4" t="s">
        <v>210</v>
      </c>
      <c r="B174">
        <v>65</v>
      </c>
      <c r="C174" t="s">
        <v>14</v>
      </c>
      <c r="D174" s="1">
        <v>44366</v>
      </c>
      <c r="E174" t="s">
        <v>337</v>
      </c>
      <c r="F174" t="str">
        <f t="shared" si="7"/>
        <v>&lt;5%</v>
      </c>
      <c r="G174" t="str">
        <f t="shared" si="7"/>
        <v>&lt;5%</v>
      </c>
      <c r="H174" t="str">
        <f t="shared" si="7"/>
        <v>&lt;5%</v>
      </c>
      <c r="I174" t="str">
        <f t="shared" si="7"/>
        <v>26-49%</v>
      </c>
      <c r="J174" t="str">
        <f t="shared" si="7"/>
        <v>5-25%</v>
      </c>
      <c r="K174">
        <v>1</v>
      </c>
      <c r="L174">
        <v>1</v>
      </c>
      <c r="M174">
        <v>1</v>
      </c>
      <c r="N174">
        <v>3</v>
      </c>
      <c r="O174">
        <v>2</v>
      </c>
      <c r="P174">
        <v>8</v>
      </c>
      <c r="Q174" t="str">
        <f>IF(P174=0,"normal",IF(AND(P174&gt;=1,P174&lt;=8),"mild",IF(AND(P174&gt;=9,P174&lt;=15),"moderate",IF(P174&gt;15,"severe",""))))</f>
        <v>mild</v>
      </c>
      <c r="R174">
        <v>76</v>
      </c>
    </row>
    <row r="175" spans="1:18" x14ac:dyDescent="0.3">
      <c r="A175" s="4" t="s">
        <v>211</v>
      </c>
      <c r="B175">
        <v>47</v>
      </c>
      <c r="C175" t="s">
        <v>14</v>
      </c>
      <c r="D175" s="1">
        <v>44506</v>
      </c>
      <c r="E175" t="s">
        <v>335</v>
      </c>
      <c r="F175" t="str">
        <f t="shared" si="7"/>
        <v>&lt;5%</v>
      </c>
      <c r="G175" t="str">
        <f t="shared" si="7"/>
        <v>&lt;5%</v>
      </c>
      <c r="H175" t="str">
        <f t="shared" si="7"/>
        <v>26-49%</v>
      </c>
      <c r="I175" t="str">
        <f t="shared" si="7"/>
        <v>&lt;5%</v>
      </c>
      <c r="J175" t="str">
        <f t="shared" si="7"/>
        <v>5-25%</v>
      </c>
      <c r="K175">
        <v>1</v>
      </c>
      <c r="L175">
        <v>1</v>
      </c>
      <c r="M175">
        <v>3</v>
      </c>
      <c r="N175">
        <v>1</v>
      </c>
      <c r="O175">
        <v>2</v>
      </c>
      <c r="P175">
        <v>8</v>
      </c>
      <c r="Q175" t="str">
        <f>IF(P175=0,"normal",IF(AND(P175&gt;=1,P175&lt;=8),"mild",IF(AND(P175&gt;=9,P175&lt;=15),"moderate",IF(P175&gt;15,"severe",""))))</f>
        <v>mild</v>
      </c>
      <c r="R175">
        <v>59</v>
      </c>
    </row>
    <row r="176" spans="1:18" x14ac:dyDescent="0.3">
      <c r="A176" s="4" t="s">
        <v>212</v>
      </c>
      <c r="B176">
        <v>46</v>
      </c>
      <c r="C176" t="s">
        <v>10</v>
      </c>
      <c r="D176" s="1">
        <v>44414</v>
      </c>
      <c r="E176" t="s">
        <v>333</v>
      </c>
      <c r="F176" t="str">
        <f t="shared" si="7"/>
        <v>5-25%</v>
      </c>
      <c r="G176" t="str">
        <f t="shared" si="7"/>
        <v>&lt;5%</v>
      </c>
      <c r="H176" t="str">
        <f t="shared" si="7"/>
        <v>5-25%</v>
      </c>
      <c r="I176" t="str">
        <f t="shared" si="7"/>
        <v>5-25%</v>
      </c>
      <c r="J176" t="str">
        <f t="shared" si="7"/>
        <v>&lt;5%</v>
      </c>
      <c r="K176">
        <v>2</v>
      </c>
      <c r="L176">
        <v>1</v>
      </c>
      <c r="M176">
        <v>2</v>
      </c>
      <c r="N176">
        <v>2</v>
      </c>
      <c r="O176">
        <v>1</v>
      </c>
      <c r="P176">
        <v>8</v>
      </c>
      <c r="Q176" t="str">
        <f>IF(P176=0,"normal",IF(AND(P176&gt;=1,P176&lt;=8),"mild",IF(AND(P176&gt;=9,P176&lt;=15),"moderate",IF(P176&gt;15,"severe",""))))</f>
        <v>mild</v>
      </c>
      <c r="R176">
        <v>68</v>
      </c>
    </row>
    <row r="177" spans="1:18" x14ac:dyDescent="0.3">
      <c r="A177" s="3" t="s">
        <v>213</v>
      </c>
      <c r="B177">
        <v>37</v>
      </c>
      <c r="C177" t="s">
        <v>10</v>
      </c>
      <c r="D177" s="1">
        <v>44342</v>
      </c>
      <c r="E177" t="s">
        <v>15</v>
      </c>
      <c r="F177" t="s">
        <v>52</v>
      </c>
      <c r="G177" t="s">
        <v>77</v>
      </c>
      <c r="H177" t="s">
        <v>77</v>
      </c>
      <c r="I177" t="s">
        <v>52</v>
      </c>
      <c r="J177" t="s">
        <v>77</v>
      </c>
      <c r="K177">
        <v>2</v>
      </c>
      <c r="L177">
        <v>1</v>
      </c>
      <c r="M177">
        <v>1</v>
      </c>
      <c r="N177">
        <v>2</v>
      </c>
      <c r="O177">
        <v>1</v>
      </c>
      <c r="P177">
        <v>7</v>
      </c>
      <c r="Q177" t="str">
        <f>IF(P177=0,"normal",IF(AND(P177&gt;=1,P177&lt;=8),"mild",IF(AND(P177&gt;=9,P177&lt;=15),"moderate",IF(P177&gt;15,"severe",""))))</f>
        <v>mild</v>
      </c>
      <c r="R177">
        <v>981</v>
      </c>
    </row>
    <row r="178" spans="1:18" x14ac:dyDescent="0.3">
      <c r="A178" s="3" t="s">
        <v>214</v>
      </c>
      <c r="B178">
        <v>46</v>
      </c>
      <c r="C178" t="s">
        <v>10</v>
      </c>
      <c r="D178" s="1">
        <v>44351</v>
      </c>
      <c r="E178" t="s">
        <v>68</v>
      </c>
      <c r="F178" t="s">
        <v>77</v>
      </c>
      <c r="G178" t="s">
        <v>77</v>
      </c>
      <c r="H178" t="s">
        <v>52</v>
      </c>
      <c r="I178" t="s">
        <v>77</v>
      </c>
      <c r="J178" t="s">
        <v>52</v>
      </c>
      <c r="K178">
        <v>1</v>
      </c>
      <c r="L178">
        <v>1</v>
      </c>
      <c r="M178">
        <v>2</v>
      </c>
      <c r="N178">
        <v>1</v>
      </c>
      <c r="O178">
        <v>2</v>
      </c>
      <c r="P178">
        <v>7</v>
      </c>
      <c r="Q178" t="str">
        <f>IF(P178=0,"normal",IF(AND(P178&gt;=1,P178&lt;=8),"mild",IF(AND(P178&gt;=9,P178&lt;=15),"moderate",IF(P178&gt;15,"severe",""))))</f>
        <v>mild</v>
      </c>
      <c r="R178">
        <v>1181</v>
      </c>
    </row>
    <row r="179" spans="1:18" x14ac:dyDescent="0.3">
      <c r="A179" s="3" t="s">
        <v>215</v>
      </c>
      <c r="B179">
        <v>21</v>
      </c>
      <c r="C179" t="s">
        <v>14</v>
      </c>
      <c r="D179" s="1">
        <v>44453</v>
      </c>
      <c r="E179" t="s">
        <v>15</v>
      </c>
      <c r="F179" t="s">
        <v>77</v>
      </c>
      <c r="G179" t="s">
        <v>77</v>
      </c>
      <c r="H179" t="s">
        <v>52</v>
      </c>
      <c r="I179" t="s">
        <v>77</v>
      </c>
      <c r="J179" t="s">
        <v>52</v>
      </c>
      <c r="K179">
        <v>1</v>
      </c>
      <c r="L179">
        <v>1</v>
      </c>
      <c r="M179">
        <v>2</v>
      </c>
      <c r="N179">
        <v>1</v>
      </c>
      <c r="O179">
        <v>2</v>
      </c>
      <c r="P179">
        <v>7</v>
      </c>
      <c r="Q179" t="str">
        <f>IF(P179=0,"normal",IF(AND(P179&gt;=1,P179&lt;=8),"mild",IF(AND(P179&gt;=9,P179&lt;=15),"moderate",IF(P179&gt;15,"severe",""))))</f>
        <v>mild</v>
      </c>
      <c r="R179">
        <v>1161</v>
      </c>
    </row>
    <row r="180" spans="1:18" x14ac:dyDescent="0.3">
      <c r="A180" s="3" t="s">
        <v>216</v>
      </c>
      <c r="B180">
        <v>72</v>
      </c>
      <c r="C180" t="s">
        <v>10</v>
      </c>
      <c r="D180" s="1">
        <v>44473</v>
      </c>
      <c r="E180" t="s">
        <v>68</v>
      </c>
      <c r="F180" t="s">
        <v>52</v>
      </c>
      <c r="G180" t="s">
        <v>77</v>
      </c>
      <c r="H180" t="s">
        <v>52</v>
      </c>
      <c r="I180" t="s">
        <v>77</v>
      </c>
      <c r="J180" t="s">
        <v>77</v>
      </c>
      <c r="K180">
        <v>2</v>
      </c>
      <c r="L180">
        <v>1</v>
      </c>
      <c r="M180">
        <v>2</v>
      </c>
      <c r="N180">
        <v>1</v>
      </c>
      <c r="O180">
        <v>1</v>
      </c>
      <c r="P180">
        <v>7</v>
      </c>
      <c r="Q180" t="str">
        <f>IF(P180=0,"normal",IF(AND(P180&gt;=1,P180&lt;=8),"mild",IF(AND(P180&gt;=9,P180&lt;=15),"moderate",IF(P180&gt;15,"severe",""))))</f>
        <v>mild</v>
      </c>
      <c r="R180">
        <v>1441</v>
      </c>
    </row>
    <row r="181" spans="1:18" x14ac:dyDescent="0.3">
      <c r="A181" s="3" t="s">
        <v>217</v>
      </c>
      <c r="B181">
        <v>33</v>
      </c>
      <c r="C181" t="s">
        <v>10</v>
      </c>
      <c r="D181" s="1">
        <v>44259</v>
      </c>
      <c r="E181" t="s">
        <v>11</v>
      </c>
      <c r="F181" t="s">
        <v>52</v>
      </c>
      <c r="G181" t="s">
        <v>52</v>
      </c>
      <c r="H181" t="s">
        <v>77</v>
      </c>
      <c r="I181" t="s">
        <v>77</v>
      </c>
      <c r="J181" t="s">
        <v>77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7</v>
      </c>
      <c r="Q181" t="str">
        <f>IF(P181=0,"normal",IF(AND(P181&gt;=1,P181&lt;=8),"mild",IF(AND(P181&gt;=9,P181&lt;=15),"moderate",IF(P181&gt;15,"severe",""))))</f>
        <v>mild</v>
      </c>
      <c r="R181">
        <v>1341</v>
      </c>
    </row>
    <row r="182" spans="1:18" x14ac:dyDescent="0.3">
      <c r="A182" s="3" t="s">
        <v>218</v>
      </c>
      <c r="B182">
        <v>20</v>
      </c>
      <c r="C182" t="s">
        <v>10</v>
      </c>
      <c r="D182" s="1">
        <v>44437</v>
      </c>
      <c r="E182" t="s">
        <v>219</v>
      </c>
      <c r="F182" s="9" t="s">
        <v>52</v>
      </c>
      <c r="G182" s="22">
        <v>0</v>
      </c>
      <c r="H182" s="9" t="s">
        <v>52</v>
      </c>
      <c r="I182" s="9" t="s">
        <v>52</v>
      </c>
      <c r="J182" s="9" t="s">
        <v>77</v>
      </c>
      <c r="K182">
        <v>2</v>
      </c>
      <c r="L182">
        <v>0</v>
      </c>
      <c r="M182">
        <v>2</v>
      </c>
      <c r="N182">
        <v>2</v>
      </c>
      <c r="O182">
        <v>1</v>
      </c>
      <c r="P182">
        <v>7</v>
      </c>
      <c r="Q182" t="str">
        <f>IF(P182=0,"normal",IF(AND(P182&gt;=1,P182&lt;=8),"mild",IF(AND(P182&gt;=9,P182&lt;=15),"moderate",IF(P182&gt;15,"severe",""))))</f>
        <v>mild</v>
      </c>
      <c r="R182">
        <v>1229</v>
      </c>
    </row>
    <row r="183" spans="1:18" x14ac:dyDescent="0.3">
      <c r="A183" s="3" t="s">
        <v>220</v>
      </c>
      <c r="B183">
        <v>54</v>
      </c>
      <c r="C183" t="s">
        <v>14</v>
      </c>
      <c r="D183" s="1">
        <v>44306</v>
      </c>
      <c r="E183" t="s">
        <v>15</v>
      </c>
      <c r="F183" s="9" t="s">
        <v>77</v>
      </c>
      <c r="G183" s="9" t="s">
        <v>52</v>
      </c>
      <c r="H183" s="9" t="s">
        <v>52</v>
      </c>
      <c r="I183" s="9" t="s">
        <v>77</v>
      </c>
      <c r="J183" s="9" t="s">
        <v>77</v>
      </c>
      <c r="K183">
        <v>1</v>
      </c>
      <c r="L183">
        <v>2</v>
      </c>
      <c r="M183">
        <v>2</v>
      </c>
      <c r="N183">
        <v>1</v>
      </c>
      <c r="O183">
        <v>1</v>
      </c>
      <c r="P183">
        <v>7</v>
      </c>
      <c r="Q183" t="str">
        <f>IF(P183=0,"normal",IF(AND(P183&gt;=1,P183&lt;=8),"mild",IF(AND(P183&gt;=9,P183&lt;=15),"moderate",IF(P183&gt;15,"severe",""))))</f>
        <v>mild</v>
      </c>
      <c r="R183">
        <v>1021</v>
      </c>
    </row>
    <row r="184" spans="1:18" x14ac:dyDescent="0.3">
      <c r="A184" s="3" t="s">
        <v>221</v>
      </c>
      <c r="B184">
        <v>45</v>
      </c>
      <c r="C184" t="s">
        <v>14</v>
      </c>
      <c r="D184" s="1">
        <v>44381</v>
      </c>
      <c r="E184" t="s">
        <v>15</v>
      </c>
      <c r="F184" s="9" t="s">
        <v>77</v>
      </c>
      <c r="G184" s="9" t="s">
        <v>77</v>
      </c>
      <c r="H184" s="9" t="s">
        <v>52</v>
      </c>
      <c r="I184" s="9" t="s">
        <v>77</v>
      </c>
      <c r="J184" s="9" t="s">
        <v>52</v>
      </c>
      <c r="K184">
        <v>1</v>
      </c>
      <c r="L184">
        <v>1</v>
      </c>
      <c r="M184">
        <v>2</v>
      </c>
      <c r="N184">
        <v>1</v>
      </c>
      <c r="O184">
        <v>2</v>
      </c>
      <c r="P184">
        <v>7</v>
      </c>
      <c r="Q184" t="str">
        <f>IF(P184=0,"normal",IF(AND(P184&gt;=1,P184&lt;=8),"mild",IF(AND(P184&gt;=9,P184&lt;=15),"moderate",IF(P184&gt;15,"severe",""))))</f>
        <v>mild</v>
      </c>
      <c r="R184">
        <v>1441</v>
      </c>
    </row>
    <row r="185" spans="1:18" x14ac:dyDescent="0.3">
      <c r="A185" s="3" t="s">
        <v>222</v>
      </c>
      <c r="B185">
        <v>70</v>
      </c>
      <c r="C185" t="s">
        <v>10</v>
      </c>
      <c r="D185" s="1">
        <v>44473</v>
      </c>
      <c r="E185" t="s">
        <v>223</v>
      </c>
      <c r="F185" s="9" t="s">
        <v>77</v>
      </c>
      <c r="G185" s="9" t="s">
        <v>52</v>
      </c>
      <c r="H185" s="9" t="s">
        <v>52</v>
      </c>
      <c r="I185" s="9" t="s">
        <v>77</v>
      </c>
      <c r="J185" s="9" t="s">
        <v>77</v>
      </c>
      <c r="K185">
        <v>1</v>
      </c>
      <c r="L185">
        <v>2</v>
      </c>
      <c r="M185">
        <v>2</v>
      </c>
      <c r="N185">
        <v>1</v>
      </c>
      <c r="O185">
        <v>1</v>
      </c>
      <c r="P185">
        <v>7</v>
      </c>
      <c r="Q185" t="str">
        <f>IF(P185=0,"normal",IF(AND(P185&gt;=1,P185&lt;=8),"mild",IF(AND(P185&gt;=9,P185&lt;=15),"moderate",IF(P185&gt;15,"severe",""))))</f>
        <v>mild</v>
      </c>
      <c r="R185">
        <v>1181</v>
      </c>
    </row>
    <row r="186" spans="1:18" x14ac:dyDescent="0.3">
      <c r="A186" s="4" t="s">
        <v>224</v>
      </c>
      <c r="B186">
        <v>43</v>
      </c>
      <c r="C186" t="s">
        <v>10</v>
      </c>
      <c r="D186" s="1">
        <v>44506</v>
      </c>
      <c r="E186" t="s">
        <v>335</v>
      </c>
      <c r="F186" s="9" t="str">
        <f t="shared" ref="F186:J190" si="8">IF(K186=0,"0%",IF(K186=1,"&lt;5%",IF(K186=2,"5-25%",IF(K186=3,"26-49%",IF(K186=4,"50-75%",IF(K186=5,"&gt;75%"))))))</f>
        <v>&lt;5%</v>
      </c>
      <c r="G186" s="9" t="str">
        <f t="shared" si="8"/>
        <v>&lt;5%</v>
      </c>
      <c r="H186" s="9" t="str">
        <f t="shared" si="8"/>
        <v>5-25%</v>
      </c>
      <c r="I186" s="9" t="str">
        <f t="shared" si="8"/>
        <v>&lt;5%</v>
      </c>
      <c r="J186" s="9" t="str">
        <f t="shared" si="8"/>
        <v>5-25%</v>
      </c>
      <c r="K186">
        <v>1</v>
      </c>
      <c r="L186">
        <v>1</v>
      </c>
      <c r="M186">
        <v>2</v>
      </c>
      <c r="N186">
        <v>1</v>
      </c>
      <c r="O186">
        <v>2</v>
      </c>
      <c r="P186">
        <v>7</v>
      </c>
      <c r="Q186" t="str">
        <f>IF(P186=0,"normal",IF(AND(P186&gt;=1,P186&lt;=8),"mild",IF(AND(P186&gt;=9,P186&lt;=15),"moderate",IF(P186&gt;15,"severe",""))))</f>
        <v>mild</v>
      </c>
      <c r="R186">
        <v>68</v>
      </c>
    </row>
    <row r="187" spans="1:18" x14ac:dyDescent="0.3">
      <c r="A187" s="4" t="s">
        <v>225</v>
      </c>
      <c r="B187">
        <v>42</v>
      </c>
      <c r="C187" t="s">
        <v>10</v>
      </c>
      <c r="D187" s="1">
        <v>44383</v>
      </c>
      <c r="E187" t="s">
        <v>335</v>
      </c>
      <c r="F187" s="9" t="str">
        <f t="shared" si="8"/>
        <v>5-25%</v>
      </c>
      <c r="G187" s="9" t="str">
        <f t="shared" si="8"/>
        <v>&lt;5%</v>
      </c>
      <c r="H187" s="9" t="str">
        <f t="shared" si="8"/>
        <v>&lt;5%</v>
      </c>
      <c r="I187" s="9" t="str">
        <f t="shared" si="8"/>
        <v>&lt;5%</v>
      </c>
      <c r="J187" s="9" t="str">
        <f t="shared" si="8"/>
        <v>5-25%</v>
      </c>
      <c r="K187">
        <v>2</v>
      </c>
      <c r="L187">
        <v>1</v>
      </c>
      <c r="M187">
        <v>1</v>
      </c>
      <c r="N187">
        <v>1</v>
      </c>
      <c r="O187">
        <v>2</v>
      </c>
      <c r="P187">
        <v>7</v>
      </c>
      <c r="Q187" t="str">
        <f>IF(P187=0,"normal",IF(AND(P187&gt;=1,P187&lt;=8),"mild",IF(AND(P187&gt;=9,P187&lt;=15),"moderate",IF(P187&gt;15,"severe",""))))</f>
        <v>mild</v>
      </c>
      <c r="R187">
        <v>76</v>
      </c>
    </row>
    <row r="188" spans="1:18" x14ac:dyDescent="0.3">
      <c r="A188" s="4" t="s">
        <v>226</v>
      </c>
      <c r="B188">
        <v>40</v>
      </c>
      <c r="C188" t="s">
        <v>14</v>
      </c>
      <c r="D188" s="1">
        <v>44506</v>
      </c>
      <c r="E188" t="s">
        <v>335</v>
      </c>
      <c r="F188" s="9" t="str">
        <f t="shared" si="8"/>
        <v>&lt;5%</v>
      </c>
      <c r="G188" s="9" t="str">
        <f t="shared" si="8"/>
        <v>&lt;5%</v>
      </c>
      <c r="H188" s="9" t="str">
        <f t="shared" si="8"/>
        <v>5-25%</v>
      </c>
      <c r="I188" s="9" t="str">
        <f t="shared" si="8"/>
        <v>&lt;5%</v>
      </c>
      <c r="J188" s="9" t="str">
        <f t="shared" si="8"/>
        <v>5-25%</v>
      </c>
      <c r="K188">
        <v>1</v>
      </c>
      <c r="L188">
        <v>1</v>
      </c>
      <c r="M188">
        <v>2</v>
      </c>
      <c r="N188">
        <v>1</v>
      </c>
      <c r="O188">
        <v>2</v>
      </c>
      <c r="P188">
        <v>7</v>
      </c>
      <c r="Q188" t="str">
        <f>IF(P188=0,"normal",IF(AND(P188&gt;=1,P188&lt;=8),"mild",IF(AND(P188&gt;=9,P188&lt;=15),"moderate",IF(P188&gt;15,"severe",""))))</f>
        <v>mild</v>
      </c>
      <c r="R188">
        <v>61</v>
      </c>
    </row>
    <row r="189" spans="1:18" x14ac:dyDescent="0.3">
      <c r="A189" s="4" t="s">
        <v>227</v>
      </c>
      <c r="B189">
        <v>35</v>
      </c>
      <c r="C189" t="s">
        <v>10</v>
      </c>
      <c r="D189" s="1">
        <v>44445</v>
      </c>
      <c r="E189" t="s">
        <v>333</v>
      </c>
      <c r="F189" s="9" t="str">
        <f t="shared" si="8"/>
        <v>&lt;5%</v>
      </c>
      <c r="G189" s="9" t="str">
        <f t="shared" si="8"/>
        <v>&lt;5%</v>
      </c>
      <c r="H189" s="9" t="str">
        <f t="shared" si="8"/>
        <v>&lt;5%</v>
      </c>
      <c r="I189" s="9" t="str">
        <f t="shared" si="8"/>
        <v>5-25%</v>
      </c>
      <c r="J189" s="9" t="str">
        <f t="shared" si="8"/>
        <v>5-25%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7</v>
      </c>
      <c r="Q189" t="str">
        <f>IF(P189=0,"normal",IF(AND(P189&gt;=1,P189&lt;=8),"mild",IF(AND(P189&gt;=9,P189&lt;=15),"moderate",IF(P189&gt;15,"severe",""))))</f>
        <v>mild</v>
      </c>
      <c r="R189">
        <v>64</v>
      </c>
    </row>
    <row r="190" spans="1:18" x14ac:dyDescent="0.3">
      <c r="A190" s="4" t="s">
        <v>228</v>
      </c>
      <c r="B190">
        <v>48</v>
      </c>
      <c r="C190" t="s">
        <v>10</v>
      </c>
      <c r="D190" s="1">
        <v>44506</v>
      </c>
      <c r="E190" t="s">
        <v>341</v>
      </c>
      <c r="F190" s="9" t="str">
        <f t="shared" si="8"/>
        <v>&lt;5%</v>
      </c>
      <c r="G190" s="9" t="str">
        <f t="shared" si="8"/>
        <v>&lt;5%</v>
      </c>
      <c r="H190" s="9" t="str">
        <f t="shared" si="8"/>
        <v>5-25%</v>
      </c>
      <c r="I190" s="9" t="str">
        <f t="shared" si="8"/>
        <v>&lt;5%</v>
      </c>
      <c r="J190" s="9" t="str">
        <f t="shared" si="8"/>
        <v>5-25%</v>
      </c>
      <c r="K190">
        <v>1</v>
      </c>
      <c r="L190">
        <v>1</v>
      </c>
      <c r="M190">
        <v>2</v>
      </c>
      <c r="N190">
        <v>1</v>
      </c>
      <c r="O190">
        <v>2</v>
      </c>
      <c r="P190">
        <v>7</v>
      </c>
      <c r="Q190" t="str">
        <f>IF(P190=0,"normal",IF(AND(P190&gt;=1,P190&lt;=8),"mild",IF(AND(P190&gt;=9,P190&lt;=15),"moderate",IF(P190&gt;15,"severe",""))))</f>
        <v>mild</v>
      </c>
      <c r="R190">
        <v>63</v>
      </c>
    </row>
    <row r="191" spans="1:18" x14ac:dyDescent="0.3">
      <c r="A191" s="3" t="s">
        <v>229</v>
      </c>
      <c r="B191">
        <v>53</v>
      </c>
      <c r="C191" t="s">
        <v>10</v>
      </c>
      <c r="D191" s="1">
        <v>44316</v>
      </c>
      <c r="E191" t="s">
        <v>11</v>
      </c>
      <c r="F191" s="22">
        <v>0</v>
      </c>
      <c r="G191" s="22">
        <v>0</v>
      </c>
      <c r="H191" s="9" t="s">
        <v>52</v>
      </c>
      <c r="I191" s="9" t="s">
        <v>52</v>
      </c>
      <c r="J191" s="9" t="s">
        <v>52</v>
      </c>
      <c r="K191">
        <v>0</v>
      </c>
      <c r="L191">
        <v>0</v>
      </c>
      <c r="M191">
        <v>2</v>
      </c>
      <c r="N191">
        <v>2</v>
      </c>
      <c r="O191">
        <v>2</v>
      </c>
      <c r="P191">
        <v>6</v>
      </c>
      <c r="Q191" t="str">
        <f>IF(P191=0,"normal",IF(AND(P191&gt;=1,P191&lt;=8),"mild",IF(AND(P191&gt;=9,P191&lt;=15),"moderate",IF(P191&gt;15,"severe",""))))</f>
        <v>mild</v>
      </c>
      <c r="R191">
        <v>1301</v>
      </c>
    </row>
    <row r="192" spans="1:18" x14ac:dyDescent="0.3">
      <c r="A192" s="3" t="s">
        <v>230</v>
      </c>
      <c r="B192">
        <v>55</v>
      </c>
      <c r="C192" t="s">
        <v>10</v>
      </c>
      <c r="D192" s="1">
        <v>44325</v>
      </c>
      <c r="E192" t="s">
        <v>15</v>
      </c>
      <c r="F192" s="9" t="s">
        <v>77</v>
      </c>
      <c r="G192" s="9" t="s">
        <v>77</v>
      </c>
      <c r="H192" s="9" t="s">
        <v>52</v>
      </c>
      <c r="I192" s="9" t="s">
        <v>77</v>
      </c>
      <c r="J192" s="9" t="s">
        <v>77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6</v>
      </c>
      <c r="Q192" t="str">
        <f>IF(P192=0,"normal",IF(AND(P192&gt;=1,P192&lt;=8),"mild",IF(AND(P192&gt;=9,P192&lt;=15),"moderate",IF(P192&gt;15,"severe",""))))</f>
        <v>mild</v>
      </c>
      <c r="R192">
        <v>1175</v>
      </c>
    </row>
    <row r="193" spans="1:18" x14ac:dyDescent="0.3">
      <c r="A193" s="3" t="s">
        <v>231</v>
      </c>
      <c r="B193">
        <v>32</v>
      </c>
      <c r="C193" t="s">
        <v>10</v>
      </c>
      <c r="D193" s="1">
        <v>44320</v>
      </c>
      <c r="E193" t="s">
        <v>15</v>
      </c>
      <c r="F193" s="9" t="s">
        <v>77</v>
      </c>
      <c r="G193" s="9" t="s">
        <v>52</v>
      </c>
      <c r="H193" s="9" t="s">
        <v>77</v>
      </c>
      <c r="I193" s="9" t="s">
        <v>77</v>
      </c>
      <c r="J193" s="9" t="s">
        <v>77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6</v>
      </c>
      <c r="Q193" t="str">
        <f>IF(P193=0,"normal",IF(AND(P193&gt;=1,P193&lt;=8),"mild",IF(AND(P193&gt;=9,P193&lt;=15),"moderate",IF(P193&gt;15,"severe",""))))</f>
        <v>mild</v>
      </c>
      <c r="R193">
        <v>1241</v>
      </c>
    </row>
    <row r="194" spans="1:18" x14ac:dyDescent="0.3">
      <c r="A194" s="3" t="s">
        <v>232</v>
      </c>
      <c r="B194">
        <v>28</v>
      </c>
      <c r="C194" t="s">
        <v>14</v>
      </c>
      <c r="D194" s="1">
        <v>44363</v>
      </c>
      <c r="E194" t="s">
        <v>68</v>
      </c>
      <c r="F194" s="9" t="s">
        <v>77</v>
      </c>
      <c r="G194" s="9" t="s">
        <v>77</v>
      </c>
      <c r="H194" s="9" t="s">
        <v>52</v>
      </c>
      <c r="I194" s="22">
        <v>0</v>
      </c>
      <c r="J194" s="9" t="s">
        <v>52</v>
      </c>
      <c r="K194">
        <v>1</v>
      </c>
      <c r="L194">
        <v>1</v>
      </c>
      <c r="M194">
        <v>2</v>
      </c>
      <c r="N194">
        <v>0</v>
      </c>
      <c r="O194">
        <v>2</v>
      </c>
      <c r="P194">
        <v>6</v>
      </c>
      <c r="Q194" t="str">
        <f>IF(P194=0,"normal",IF(AND(P194&gt;=1,P194&lt;=8),"mild",IF(AND(P194&gt;=9,P194&lt;=15),"moderate",IF(P194&gt;15,"severe",""))))</f>
        <v>mild</v>
      </c>
      <c r="R194">
        <v>921</v>
      </c>
    </row>
    <row r="195" spans="1:18" x14ac:dyDescent="0.3">
      <c r="A195" s="3" t="s">
        <v>233</v>
      </c>
      <c r="B195">
        <v>33</v>
      </c>
      <c r="C195" t="s">
        <v>10</v>
      </c>
      <c r="D195" s="1">
        <v>44291</v>
      </c>
      <c r="E195" t="s">
        <v>68</v>
      </c>
      <c r="F195" s="9" t="s">
        <v>52</v>
      </c>
      <c r="G195" s="9" t="s">
        <v>77</v>
      </c>
      <c r="H195" s="9" t="s">
        <v>77</v>
      </c>
      <c r="I195" s="9" t="s">
        <v>77</v>
      </c>
      <c r="J195" s="9" t="s">
        <v>77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6</v>
      </c>
      <c r="Q195" t="str">
        <f>IF(P195=0,"normal",IF(AND(P195&gt;=1,P195&lt;=8),"mild",IF(AND(P195&gt;=9,P195&lt;=15),"moderate",IF(P195&gt;15,"severe",""))))</f>
        <v>mild</v>
      </c>
      <c r="R195">
        <v>1175</v>
      </c>
    </row>
    <row r="196" spans="1:18" x14ac:dyDescent="0.3">
      <c r="A196" s="3" t="s">
        <v>234</v>
      </c>
      <c r="B196">
        <v>51</v>
      </c>
      <c r="C196" t="s">
        <v>10</v>
      </c>
      <c r="D196" s="1">
        <v>44299</v>
      </c>
      <c r="E196" t="s">
        <v>15</v>
      </c>
      <c r="F196" s="22">
        <v>0</v>
      </c>
      <c r="G196" s="9" t="s">
        <v>52</v>
      </c>
      <c r="H196" s="9" t="s">
        <v>52</v>
      </c>
      <c r="I196" s="9" t="s">
        <v>77</v>
      </c>
      <c r="J196" s="9" t="s">
        <v>77</v>
      </c>
      <c r="K196">
        <v>0</v>
      </c>
      <c r="L196">
        <v>2</v>
      </c>
      <c r="M196">
        <v>2</v>
      </c>
      <c r="N196">
        <v>1</v>
      </c>
      <c r="O196">
        <v>1</v>
      </c>
      <c r="P196">
        <v>6</v>
      </c>
      <c r="Q196" t="str">
        <f>IF(P196=0,"normal",IF(AND(P196&gt;=1,P196&lt;=8),"mild",IF(AND(P196&gt;=9,P196&lt;=15),"moderate",IF(P196&gt;15,"severe",""))))</f>
        <v>mild</v>
      </c>
      <c r="R196">
        <v>1281</v>
      </c>
    </row>
    <row r="197" spans="1:18" x14ac:dyDescent="0.3">
      <c r="A197" s="3" t="s">
        <v>235</v>
      </c>
      <c r="B197">
        <v>67</v>
      </c>
      <c r="C197" t="s">
        <v>10</v>
      </c>
      <c r="D197" s="1">
        <v>44299</v>
      </c>
      <c r="E197" t="s">
        <v>15</v>
      </c>
      <c r="F197" s="9" t="s">
        <v>77</v>
      </c>
      <c r="G197" s="9" t="s">
        <v>52</v>
      </c>
      <c r="H197" s="9" t="s">
        <v>52</v>
      </c>
      <c r="I197" s="22">
        <v>0</v>
      </c>
      <c r="J197" s="9" t="s">
        <v>77</v>
      </c>
      <c r="K197">
        <v>1</v>
      </c>
      <c r="L197">
        <v>2</v>
      </c>
      <c r="M197">
        <v>2</v>
      </c>
      <c r="N197">
        <v>0</v>
      </c>
      <c r="O197">
        <v>1</v>
      </c>
      <c r="P197">
        <v>6</v>
      </c>
      <c r="Q197" t="str">
        <f>IF(P197=0,"normal",IF(AND(P197&gt;=1,P197&lt;=8),"mild",IF(AND(P197&gt;=9,P197&lt;=15),"moderate",IF(P197&gt;15,"severe",""))))</f>
        <v>mild</v>
      </c>
      <c r="R197">
        <v>1241</v>
      </c>
    </row>
    <row r="198" spans="1:18" x14ac:dyDescent="0.3">
      <c r="A198" s="3" t="s">
        <v>236</v>
      </c>
      <c r="B198">
        <v>50</v>
      </c>
      <c r="C198" t="s">
        <v>10</v>
      </c>
      <c r="D198" s="1">
        <v>44231</v>
      </c>
      <c r="E198" t="s">
        <v>68</v>
      </c>
      <c r="F198" s="9" t="s">
        <v>77</v>
      </c>
      <c r="G198" s="9" t="s">
        <v>77</v>
      </c>
      <c r="H198" s="9" t="s">
        <v>52</v>
      </c>
      <c r="I198" s="9" t="s">
        <v>77</v>
      </c>
      <c r="J198" s="9" t="s">
        <v>77</v>
      </c>
      <c r="K198">
        <v>1</v>
      </c>
      <c r="L198">
        <v>1</v>
      </c>
      <c r="M198">
        <v>2</v>
      </c>
      <c r="N198">
        <v>1</v>
      </c>
      <c r="O198">
        <v>1</v>
      </c>
      <c r="P198">
        <v>6</v>
      </c>
      <c r="Q198" t="str">
        <f>IF(P198=0,"normal",IF(AND(P198&gt;=1,P198&lt;=8),"mild",IF(AND(P198&gt;=9,P198&lt;=15),"moderate",IF(P198&gt;15,"severe",""))))</f>
        <v>mild</v>
      </c>
      <c r="R198">
        <v>1321</v>
      </c>
    </row>
    <row r="199" spans="1:18" x14ac:dyDescent="0.3">
      <c r="A199" s="3" t="s">
        <v>237</v>
      </c>
      <c r="B199">
        <v>46</v>
      </c>
      <c r="C199" t="s">
        <v>14</v>
      </c>
      <c r="D199" s="1">
        <v>44473</v>
      </c>
      <c r="E199" t="s">
        <v>68</v>
      </c>
      <c r="F199" s="9" t="s">
        <v>77</v>
      </c>
      <c r="G199" s="9" t="s">
        <v>77</v>
      </c>
      <c r="H199" s="9" t="s">
        <v>52</v>
      </c>
      <c r="I199" s="9" t="s">
        <v>77</v>
      </c>
      <c r="J199" s="9" t="s">
        <v>77</v>
      </c>
      <c r="K199">
        <v>1</v>
      </c>
      <c r="L199">
        <v>1</v>
      </c>
      <c r="M199">
        <v>2</v>
      </c>
      <c r="N199">
        <v>1</v>
      </c>
      <c r="O199">
        <v>1</v>
      </c>
      <c r="P199">
        <v>6</v>
      </c>
      <c r="Q199" t="str">
        <f>IF(P199=0,"normal",IF(AND(P199&gt;=1,P199&lt;=8),"mild",IF(AND(P199&gt;=9,P199&lt;=15),"moderate",IF(P199&gt;15,"severe",""))))</f>
        <v>mild</v>
      </c>
      <c r="R199">
        <v>1101</v>
      </c>
    </row>
    <row r="200" spans="1:18" x14ac:dyDescent="0.3">
      <c r="A200" s="3" t="s">
        <v>238</v>
      </c>
      <c r="B200">
        <v>38</v>
      </c>
      <c r="C200" t="s">
        <v>14</v>
      </c>
      <c r="D200" s="1">
        <v>44504</v>
      </c>
      <c r="E200" t="s">
        <v>15</v>
      </c>
      <c r="F200" s="9" t="s">
        <v>77</v>
      </c>
      <c r="G200" s="9" t="s">
        <v>77</v>
      </c>
      <c r="H200" s="9" t="s">
        <v>77</v>
      </c>
      <c r="I200" s="9" t="s">
        <v>77</v>
      </c>
      <c r="J200" s="9" t="s">
        <v>52</v>
      </c>
      <c r="K200">
        <v>1</v>
      </c>
      <c r="L200">
        <v>1</v>
      </c>
      <c r="M200">
        <v>1</v>
      </c>
      <c r="N200">
        <v>1</v>
      </c>
      <c r="O200">
        <v>2</v>
      </c>
      <c r="P200">
        <v>6</v>
      </c>
      <c r="Q200" t="str">
        <f>IF(P200=0,"normal",IF(AND(P200&gt;=1,P200&lt;=8),"mild",IF(AND(P200&gt;=9,P200&lt;=15),"moderate",IF(P200&gt;15,"severe",""))))</f>
        <v>mild</v>
      </c>
      <c r="R200">
        <v>1141</v>
      </c>
    </row>
    <row r="201" spans="1:18" x14ac:dyDescent="0.3">
      <c r="A201" s="3" t="s">
        <v>239</v>
      </c>
      <c r="B201">
        <v>45</v>
      </c>
      <c r="C201" t="s">
        <v>10</v>
      </c>
      <c r="D201" s="1">
        <v>44505</v>
      </c>
      <c r="E201" t="s">
        <v>68</v>
      </c>
      <c r="F201" s="9" t="s">
        <v>77</v>
      </c>
      <c r="G201" s="9" t="s">
        <v>77</v>
      </c>
      <c r="H201" s="9" t="s">
        <v>52</v>
      </c>
      <c r="I201" s="9" t="s">
        <v>77</v>
      </c>
      <c r="J201" s="9" t="s">
        <v>77</v>
      </c>
      <c r="K201">
        <v>1</v>
      </c>
      <c r="L201">
        <v>1</v>
      </c>
      <c r="M201">
        <v>2</v>
      </c>
      <c r="N201">
        <v>1</v>
      </c>
      <c r="O201">
        <v>1</v>
      </c>
      <c r="P201">
        <v>6</v>
      </c>
      <c r="Q201" t="str">
        <f>IF(P201=0,"normal",IF(AND(P201&gt;=1,P201&lt;=8),"mild",IF(AND(P201&gt;=9,P201&lt;=15),"moderate",IF(P201&gt;15,"severe",""))))</f>
        <v>mild</v>
      </c>
      <c r="R201">
        <v>1301</v>
      </c>
    </row>
    <row r="202" spans="1:18" x14ac:dyDescent="0.3">
      <c r="A202" s="3" t="s">
        <v>240</v>
      </c>
      <c r="B202">
        <v>54</v>
      </c>
      <c r="C202" t="s">
        <v>10</v>
      </c>
      <c r="D202" s="1">
        <v>44398</v>
      </c>
      <c r="E202" t="s">
        <v>15</v>
      </c>
      <c r="F202" s="9" t="s">
        <v>77</v>
      </c>
      <c r="G202" s="9" t="s">
        <v>77</v>
      </c>
      <c r="H202" s="9" t="s">
        <v>52</v>
      </c>
      <c r="I202" s="9" t="s">
        <v>77</v>
      </c>
      <c r="J202" s="9" t="s">
        <v>77</v>
      </c>
      <c r="K202">
        <v>1</v>
      </c>
      <c r="L202">
        <v>1</v>
      </c>
      <c r="M202">
        <v>2</v>
      </c>
      <c r="N202">
        <v>1</v>
      </c>
      <c r="O202">
        <v>1</v>
      </c>
      <c r="P202">
        <v>6</v>
      </c>
      <c r="Q202" t="str">
        <f>IF(P202=0,"normal",IF(AND(P202&gt;=1,P202&lt;=8),"mild",IF(AND(P202&gt;=9,P202&lt;=15),"moderate",IF(P202&gt;15,"severe",""))))</f>
        <v>mild</v>
      </c>
      <c r="R202">
        <v>376</v>
      </c>
    </row>
    <row r="203" spans="1:18" x14ac:dyDescent="0.3">
      <c r="A203" s="4" t="s">
        <v>241</v>
      </c>
      <c r="B203">
        <v>56</v>
      </c>
      <c r="C203" t="s">
        <v>10</v>
      </c>
      <c r="D203" s="1">
        <v>44414</v>
      </c>
      <c r="E203" t="s">
        <v>340</v>
      </c>
      <c r="F203" s="9" t="str">
        <f t="shared" ref="F203:J206" si="9">IF(K203=0,"0%",IF(K203=1,"&lt;5%",IF(K203=2,"5-25%",IF(K203=3,"26-49%",IF(K203=4,"50-75%",IF(K203=5,"&gt;75%"))))))</f>
        <v>5-25%</v>
      </c>
      <c r="G203" s="9" t="str">
        <f t="shared" si="9"/>
        <v>&lt;5%</v>
      </c>
      <c r="H203" s="9" t="str">
        <f t="shared" si="9"/>
        <v>&lt;5%</v>
      </c>
      <c r="I203" s="9" t="str">
        <f t="shared" si="9"/>
        <v>&lt;5%</v>
      </c>
      <c r="J203" s="9" t="str">
        <f t="shared" si="9"/>
        <v>&lt;5%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6</v>
      </c>
      <c r="Q203" t="str">
        <f>IF(P203=0,"normal",IF(AND(P203&gt;=1,P203&lt;=8),"mild",IF(AND(P203&gt;=9,P203&lt;=15),"moderate",IF(P203&gt;15,"severe",""))))</f>
        <v>mild</v>
      </c>
      <c r="R203">
        <v>76</v>
      </c>
    </row>
    <row r="204" spans="1:18" x14ac:dyDescent="0.3">
      <c r="A204" s="4" t="s">
        <v>242</v>
      </c>
      <c r="B204">
        <v>63</v>
      </c>
      <c r="C204" t="s">
        <v>10</v>
      </c>
      <c r="D204" s="1">
        <v>44365</v>
      </c>
      <c r="E204" t="s">
        <v>335</v>
      </c>
      <c r="F204" s="9" t="str">
        <f t="shared" si="9"/>
        <v>&lt;5%</v>
      </c>
      <c r="G204" s="9" t="str">
        <f t="shared" si="9"/>
        <v>&lt;5%</v>
      </c>
      <c r="H204" s="9" t="str">
        <f t="shared" si="9"/>
        <v>5-25%</v>
      </c>
      <c r="I204" s="9" t="str">
        <f t="shared" si="9"/>
        <v>&lt;5%</v>
      </c>
      <c r="J204" s="9" t="str">
        <f t="shared" si="9"/>
        <v>&lt;5%</v>
      </c>
      <c r="K204">
        <v>1</v>
      </c>
      <c r="L204">
        <v>1</v>
      </c>
      <c r="M204">
        <v>2</v>
      </c>
      <c r="N204">
        <v>1</v>
      </c>
      <c r="O204">
        <v>1</v>
      </c>
      <c r="P204">
        <v>6</v>
      </c>
      <c r="Q204" t="str">
        <f>IF(P204=0,"normal",IF(AND(P204&gt;=1,P204&lt;=8),"mild",IF(AND(P204&gt;=9,P204&lt;=15),"moderate",IF(P204&gt;15,"severe",""))))</f>
        <v>mild</v>
      </c>
      <c r="R204">
        <v>66</v>
      </c>
    </row>
    <row r="205" spans="1:18" x14ac:dyDescent="0.3">
      <c r="A205" s="4" t="s">
        <v>243</v>
      </c>
      <c r="B205">
        <v>24</v>
      </c>
      <c r="C205" t="s">
        <v>10</v>
      </c>
      <c r="D205" s="1">
        <v>44366</v>
      </c>
      <c r="E205" t="s">
        <v>335</v>
      </c>
      <c r="F205" s="9" t="str">
        <f t="shared" si="9"/>
        <v>&lt;5%</v>
      </c>
      <c r="G205" s="9" t="str">
        <f t="shared" si="9"/>
        <v>&lt;5%</v>
      </c>
      <c r="H205" s="9" t="str">
        <f t="shared" si="9"/>
        <v>5-25%</v>
      </c>
      <c r="I205" s="9" t="str">
        <f t="shared" si="9"/>
        <v>0%</v>
      </c>
      <c r="J205" s="9" t="str">
        <f t="shared" si="9"/>
        <v>5-25%</v>
      </c>
      <c r="K205">
        <v>1</v>
      </c>
      <c r="L205">
        <v>1</v>
      </c>
      <c r="M205">
        <v>2</v>
      </c>
      <c r="N205">
        <v>0</v>
      </c>
      <c r="O205">
        <v>2</v>
      </c>
      <c r="P205">
        <v>6</v>
      </c>
      <c r="Q205" t="str">
        <f>IF(P205=0,"normal",IF(AND(P205&gt;=1,P205&lt;=8),"mild",IF(AND(P205&gt;=9,P205&lt;=15),"moderate",IF(P205&gt;15,"severe",""))))</f>
        <v>mild</v>
      </c>
      <c r="R205">
        <v>68</v>
      </c>
    </row>
    <row r="206" spans="1:18" x14ac:dyDescent="0.3">
      <c r="A206" s="4" t="s">
        <v>244</v>
      </c>
      <c r="B206">
        <v>87</v>
      </c>
      <c r="C206" t="s">
        <v>10</v>
      </c>
      <c r="D206" s="1">
        <v>44363</v>
      </c>
      <c r="E206" t="s">
        <v>342</v>
      </c>
      <c r="F206" s="9" t="str">
        <f t="shared" si="9"/>
        <v>&lt;5%</v>
      </c>
      <c r="G206" s="9" t="str">
        <f t="shared" si="9"/>
        <v>&lt;5%</v>
      </c>
      <c r="H206" s="9" t="str">
        <f t="shared" si="9"/>
        <v>5-25%</v>
      </c>
      <c r="I206" s="9" t="str">
        <f t="shared" si="9"/>
        <v>&lt;5%</v>
      </c>
      <c r="J206" s="9" t="str">
        <f t="shared" si="9"/>
        <v>&lt;5%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6</v>
      </c>
      <c r="Q206" t="str">
        <f>IF(P206=0,"normal",IF(AND(P206&gt;=1,P206&lt;=8),"mild",IF(AND(P206&gt;=9,P206&lt;=15),"moderate",IF(P206&gt;15,"severe",""))))</f>
        <v>mild</v>
      </c>
      <c r="R206">
        <v>67</v>
      </c>
    </row>
    <row r="207" spans="1:18" x14ac:dyDescent="0.3">
      <c r="A207" s="3" t="s">
        <v>245</v>
      </c>
      <c r="B207">
        <v>41</v>
      </c>
      <c r="C207" t="s">
        <v>14</v>
      </c>
      <c r="D207" s="1">
        <v>44343</v>
      </c>
      <c r="E207" t="s">
        <v>15</v>
      </c>
      <c r="F207" s="9" t="s">
        <v>77</v>
      </c>
      <c r="G207" s="9" t="s">
        <v>77</v>
      </c>
      <c r="H207" s="9" t="s">
        <v>77</v>
      </c>
      <c r="I207" s="9" t="s">
        <v>77</v>
      </c>
      <c r="J207" s="9" t="s">
        <v>77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5</v>
      </c>
      <c r="Q207" t="str">
        <f>IF(P207=0,"normal",IF(AND(P207&gt;=1,P207&lt;=8),"mild",IF(AND(P207&gt;=9,P207&lt;=15),"moderate",IF(P207&gt;15,"severe",""))))</f>
        <v>mild</v>
      </c>
      <c r="R207">
        <v>1001</v>
      </c>
    </row>
    <row r="208" spans="1:18" ht="13.2" customHeight="1" x14ac:dyDescent="0.3">
      <c r="A208" s="3" t="s">
        <v>246</v>
      </c>
      <c r="B208">
        <v>50</v>
      </c>
      <c r="C208" t="s">
        <v>14</v>
      </c>
      <c r="D208" s="1">
        <v>44307</v>
      </c>
      <c r="E208" t="s">
        <v>15</v>
      </c>
      <c r="F208" s="9" t="s">
        <v>77</v>
      </c>
      <c r="G208" s="9" t="s">
        <v>77</v>
      </c>
      <c r="H208" s="9" t="s">
        <v>77</v>
      </c>
      <c r="I208" s="9" t="s">
        <v>77</v>
      </c>
      <c r="J208" s="9" t="s">
        <v>77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5</v>
      </c>
      <c r="Q208" t="str">
        <f>IF(P208=0,"normal",IF(AND(P208&gt;=1,P208&lt;=8),"mild",IF(AND(P208&gt;=9,P208&lt;=15),"moderate",IF(P208&gt;15,"severe",""))))</f>
        <v>mild</v>
      </c>
      <c r="R208">
        <v>1341</v>
      </c>
    </row>
    <row r="209" spans="1:18" hidden="1" x14ac:dyDescent="0.3">
      <c r="A209" s="3" t="s">
        <v>247</v>
      </c>
      <c r="B209">
        <v>40</v>
      </c>
      <c r="C209" t="s">
        <v>10</v>
      </c>
      <c r="D209" s="1">
        <v>44504</v>
      </c>
      <c r="E209" t="s">
        <v>248</v>
      </c>
      <c r="F209" s="9" t="s">
        <v>77</v>
      </c>
      <c r="G209" s="9" t="s">
        <v>77</v>
      </c>
      <c r="H209" s="9" t="s">
        <v>77</v>
      </c>
      <c r="I209" s="9" t="s">
        <v>77</v>
      </c>
      <c r="J209" s="9" t="s">
        <v>77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5</v>
      </c>
      <c r="Q209" t="str">
        <f>IF(P209=0,"normal",IF(AND(P209&gt;=1,P209&lt;=8),"mild",IF(AND(P209&gt;=9,P209&lt;=15),"moderate",IF(P209&gt;15,"severe",""))))</f>
        <v>mild</v>
      </c>
      <c r="R209">
        <v>1181</v>
      </c>
    </row>
    <row r="210" spans="1:18" hidden="1" x14ac:dyDescent="0.3">
      <c r="A210" s="3" t="s">
        <v>249</v>
      </c>
      <c r="B210">
        <v>45</v>
      </c>
      <c r="C210" t="s">
        <v>10</v>
      </c>
      <c r="D210" s="1">
        <v>44325</v>
      </c>
      <c r="E210" t="s">
        <v>11</v>
      </c>
      <c r="F210" s="9" t="s">
        <v>77</v>
      </c>
      <c r="G210" s="9" t="s">
        <v>52</v>
      </c>
      <c r="H210" s="9" t="s">
        <v>52</v>
      </c>
      <c r="I210" s="22">
        <v>0</v>
      </c>
      <c r="J210" s="22">
        <v>0</v>
      </c>
      <c r="K210">
        <v>1</v>
      </c>
      <c r="L210">
        <v>2</v>
      </c>
      <c r="M210">
        <v>2</v>
      </c>
      <c r="N210">
        <v>0</v>
      </c>
      <c r="O210">
        <v>0</v>
      </c>
      <c r="P210">
        <v>5</v>
      </c>
      <c r="Q210" t="str">
        <f>IF(P210=0,"normal",IF(AND(P210&gt;=1,P210&lt;=8),"mild",IF(AND(P210&gt;=9,P210&lt;=15),"moderate",IF(P210&gt;15,"severe",""))))</f>
        <v>mild</v>
      </c>
      <c r="R210">
        <v>1541</v>
      </c>
    </row>
    <row r="211" spans="1:18" hidden="1" x14ac:dyDescent="0.3">
      <c r="A211" s="3" t="s">
        <v>250</v>
      </c>
      <c r="B211">
        <v>53</v>
      </c>
      <c r="C211" t="s">
        <v>14</v>
      </c>
      <c r="D211" s="1">
        <v>44306</v>
      </c>
      <c r="E211" t="s">
        <v>248</v>
      </c>
      <c r="F211" s="9" t="s">
        <v>77</v>
      </c>
      <c r="G211" s="9" t="s">
        <v>77</v>
      </c>
      <c r="H211" s="9" t="s">
        <v>77</v>
      </c>
      <c r="I211" s="9" t="s">
        <v>77</v>
      </c>
      <c r="J211" s="9" t="s">
        <v>77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5</v>
      </c>
      <c r="Q211" t="str">
        <f>IF(P211=0,"normal",IF(AND(P211&gt;=1,P211&lt;=8),"mild",IF(AND(P211&gt;=9,P211&lt;=15),"moderate",IF(P211&gt;15,"severe",""))))</f>
        <v>mild</v>
      </c>
      <c r="R211">
        <v>941</v>
      </c>
    </row>
    <row r="212" spans="1:18" hidden="1" x14ac:dyDescent="0.3">
      <c r="A212" s="3" t="s">
        <v>251</v>
      </c>
      <c r="B212">
        <v>83</v>
      </c>
      <c r="C212" t="s">
        <v>14</v>
      </c>
      <c r="D212" s="1">
        <v>44315</v>
      </c>
      <c r="E212" t="s">
        <v>68</v>
      </c>
      <c r="F212" s="9" t="s">
        <v>77</v>
      </c>
      <c r="G212" s="22">
        <v>0</v>
      </c>
      <c r="H212" s="9" t="s">
        <v>52</v>
      </c>
      <c r="I212" s="22">
        <v>0</v>
      </c>
      <c r="J212" s="9" t="s">
        <v>52</v>
      </c>
      <c r="K212">
        <v>1</v>
      </c>
      <c r="L212">
        <v>0</v>
      </c>
      <c r="M212">
        <v>2</v>
      </c>
      <c r="N212">
        <v>0</v>
      </c>
      <c r="O212">
        <v>2</v>
      </c>
      <c r="P212">
        <v>5</v>
      </c>
      <c r="Q212" t="str">
        <f>IF(P212=0,"normal",IF(AND(P212&gt;=1,P212&lt;=8),"mild",IF(AND(P212&gt;=9,P212&lt;=15),"moderate",IF(P212&gt;15,"severe",""))))</f>
        <v>mild</v>
      </c>
      <c r="R212">
        <v>1261</v>
      </c>
    </row>
    <row r="213" spans="1:18" ht="40.200000000000003" hidden="1" customHeight="1" x14ac:dyDescent="0.3">
      <c r="A213" s="3" t="s">
        <v>252</v>
      </c>
      <c r="B213">
        <v>72</v>
      </c>
      <c r="C213" t="s">
        <v>14</v>
      </c>
      <c r="D213" s="1">
        <v>44305</v>
      </c>
      <c r="E213" t="s">
        <v>248</v>
      </c>
      <c r="F213" s="9" t="s">
        <v>77</v>
      </c>
      <c r="G213" s="9" t="s">
        <v>77</v>
      </c>
      <c r="H213" s="9" t="s">
        <v>77</v>
      </c>
      <c r="I213" s="9" t="s">
        <v>77</v>
      </c>
      <c r="J213" s="9" t="s">
        <v>77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5</v>
      </c>
      <c r="Q213" t="str">
        <f>IF(P213=0,"normal",IF(AND(P213&gt;=1,P213&lt;=8),"mild",IF(AND(P213&gt;=9,P213&lt;=15),"moderate",IF(P213&gt;15,"severe",""))))</f>
        <v>mild</v>
      </c>
      <c r="R213">
        <v>961</v>
      </c>
    </row>
    <row r="214" spans="1:18" hidden="1" x14ac:dyDescent="0.3">
      <c r="A214" s="4" t="s">
        <v>253</v>
      </c>
      <c r="B214">
        <v>27</v>
      </c>
      <c r="C214" t="s">
        <v>14</v>
      </c>
      <c r="D214" s="1">
        <v>44383</v>
      </c>
      <c r="E214" s="33" t="s">
        <v>393</v>
      </c>
      <c r="F214" s="9" t="str">
        <f t="shared" ref="F214:J217" si="10">IF(K214=0,"0%",IF(K214=1,"&lt;5%",IF(K214=2,"5-25%",IF(K214=3,"26-49%",IF(K214=4,"50-75%",IF(K214=5,"&gt;75%"))))))</f>
        <v>&lt;5%</v>
      </c>
      <c r="G214" s="9" t="str">
        <f t="shared" si="10"/>
        <v>0%</v>
      </c>
      <c r="H214" s="9" t="str">
        <f t="shared" si="10"/>
        <v>&lt;5%</v>
      </c>
      <c r="I214" s="9" t="str">
        <f t="shared" si="10"/>
        <v>5-25%</v>
      </c>
      <c r="J214" s="9" t="str">
        <f t="shared" si="10"/>
        <v>&lt;5%</v>
      </c>
      <c r="K214">
        <v>1</v>
      </c>
      <c r="L214">
        <v>0</v>
      </c>
      <c r="M214">
        <v>1</v>
      </c>
      <c r="N214">
        <v>2</v>
      </c>
      <c r="O214">
        <v>1</v>
      </c>
      <c r="P214">
        <v>5</v>
      </c>
      <c r="Q214" t="str">
        <f>IF(P214=0,"normal",IF(AND(P214&gt;=1,P214&lt;=8),"mild",IF(AND(P214&gt;=9,P214&lt;=15),"moderate",IF(P214&gt;15,"severe",""))))</f>
        <v>mild</v>
      </c>
      <c r="R214">
        <v>66</v>
      </c>
    </row>
    <row r="215" spans="1:18" hidden="1" x14ac:dyDescent="0.3">
      <c r="A215" s="4" t="s">
        <v>254</v>
      </c>
      <c r="B215">
        <v>29</v>
      </c>
      <c r="C215" t="s">
        <v>10</v>
      </c>
      <c r="D215" s="1">
        <v>44362</v>
      </c>
      <c r="E215" t="s">
        <v>343</v>
      </c>
      <c r="F215" s="9" t="str">
        <f t="shared" si="10"/>
        <v>&lt;5%</v>
      </c>
      <c r="G215" s="9" t="str">
        <f t="shared" si="10"/>
        <v>&lt;5%</v>
      </c>
      <c r="H215" s="9" t="str">
        <f t="shared" si="10"/>
        <v>&lt;5%</v>
      </c>
      <c r="I215" s="9" t="str">
        <f t="shared" si="10"/>
        <v>&lt;5%</v>
      </c>
      <c r="J215" s="9" t="str">
        <f t="shared" si="10"/>
        <v>&lt;5%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5</v>
      </c>
      <c r="Q215" t="str">
        <f>IF(P215=0,"normal",IF(AND(P215&gt;=1,P215&lt;=8),"mild",IF(AND(P215&gt;=9,P215&lt;=15),"moderate",IF(P215&gt;15,"severe",""))))</f>
        <v>mild</v>
      </c>
      <c r="R215">
        <v>74</v>
      </c>
    </row>
    <row r="216" spans="1:18" hidden="1" x14ac:dyDescent="0.3">
      <c r="A216" s="4" t="s">
        <v>255</v>
      </c>
      <c r="B216">
        <v>22</v>
      </c>
      <c r="C216" t="s">
        <v>14</v>
      </c>
      <c r="D216" s="1">
        <v>44383</v>
      </c>
      <c r="E216" t="s">
        <v>333</v>
      </c>
      <c r="F216" s="9" t="str">
        <f t="shared" si="10"/>
        <v>&lt;5%</v>
      </c>
      <c r="G216" s="9" t="str">
        <f t="shared" si="10"/>
        <v>&lt;5%</v>
      </c>
      <c r="H216" s="9" t="str">
        <f t="shared" si="10"/>
        <v>&lt;5%</v>
      </c>
      <c r="I216" s="9" t="str">
        <f t="shared" si="10"/>
        <v>&lt;5%</v>
      </c>
      <c r="J216" s="9" t="str">
        <f t="shared" si="10"/>
        <v>&lt;5%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5</v>
      </c>
      <c r="Q216" t="str">
        <f>IF(P216=0,"normal",IF(AND(P216&gt;=1,P216&lt;=8),"mild",IF(AND(P216&gt;=9,P216&lt;=15),"moderate",IF(P216&gt;15,"severe",""))))</f>
        <v>mild</v>
      </c>
      <c r="R216">
        <v>61</v>
      </c>
    </row>
    <row r="217" spans="1:18" x14ac:dyDescent="0.3">
      <c r="A217" s="4" t="s">
        <v>256</v>
      </c>
      <c r="B217">
        <v>36</v>
      </c>
      <c r="C217" t="s">
        <v>14</v>
      </c>
      <c r="D217" s="1">
        <v>44383</v>
      </c>
      <c r="E217" t="s">
        <v>333</v>
      </c>
      <c r="F217" s="9" t="str">
        <f t="shared" si="10"/>
        <v>&lt;5%</v>
      </c>
      <c r="G217" s="9" t="str">
        <f t="shared" si="10"/>
        <v>&lt;5%</v>
      </c>
      <c r="H217" s="9" t="str">
        <f t="shared" si="10"/>
        <v>&lt;5%</v>
      </c>
      <c r="I217" s="9" t="str">
        <f t="shared" si="10"/>
        <v>&lt;5%</v>
      </c>
      <c r="J217" s="9" t="str">
        <f t="shared" si="10"/>
        <v>&lt;5%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5</v>
      </c>
      <c r="Q217" t="str">
        <f>IF(P217=0,"normal",IF(AND(P217&gt;=1,P217&lt;=8),"mild",IF(AND(P217&gt;=9,P217&lt;=15),"moderate",IF(P217&gt;15,"severe",""))))</f>
        <v>mild</v>
      </c>
      <c r="R217">
        <v>57</v>
      </c>
    </row>
    <row r="218" spans="1:18" x14ac:dyDescent="0.3">
      <c r="A218" s="3" t="s">
        <v>257</v>
      </c>
      <c r="B218">
        <v>61</v>
      </c>
      <c r="C218" t="s">
        <v>14</v>
      </c>
      <c r="D218" s="1">
        <v>44260</v>
      </c>
      <c r="E218" t="s">
        <v>15</v>
      </c>
      <c r="F218" s="9" t="s">
        <v>77</v>
      </c>
      <c r="G218" s="22">
        <v>0</v>
      </c>
      <c r="H218" s="9" t="s">
        <v>52</v>
      </c>
      <c r="I218" s="22">
        <v>0</v>
      </c>
      <c r="J218" s="9" t="s">
        <v>77</v>
      </c>
      <c r="K218">
        <v>1</v>
      </c>
      <c r="L218">
        <v>0</v>
      </c>
      <c r="M218">
        <v>2</v>
      </c>
      <c r="N218">
        <v>0</v>
      </c>
      <c r="O218">
        <v>1</v>
      </c>
      <c r="P218">
        <v>4</v>
      </c>
      <c r="Q218" t="str">
        <f>IF(P218=0,"normal",IF(AND(P218&gt;=1,P218&lt;=8),"mild",IF(AND(P218&gt;=9,P218&lt;=15),"moderate",IF(P218&gt;15,"severe",""))))</f>
        <v>mild</v>
      </c>
      <c r="R218">
        <v>981</v>
      </c>
    </row>
    <row r="219" spans="1:18" x14ac:dyDescent="0.3">
      <c r="A219" s="3" t="s">
        <v>258</v>
      </c>
      <c r="B219">
        <v>65</v>
      </c>
      <c r="C219" t="s">
        <v>14</v>
      </c>
      <c r="D219" s="1">
        <v>44408</v>
      </c>
      <c r="E219" t="s">
        <v>390</v>
      </c>
      <c r="F219" s="22">
        <v>0</v>
      </c>
      <c r="G219" s="22">
        <v>0</v>
      </c>
      <c r="H219" s="9" t="s">
        <v>52</v>
      </c>
      <c r="I219" s="22">
        <v>0</v>
      </c>
      <c r="J219" s="9" t="s">
        <v>52</v>
      </c>
      <c r="K219">
        <v>0</v>
      </c>
      <c r="L219">
        <v>0</v>
      </c>
      <c r="M219">
        <v>2</v>
      </c>
      <c r="N219">
        <v>0</v>
      </c>
      <c r="O219">
        <v>2</v>
      </c>
      <c r="P219">
        <v>4</v>
      </c>
      <c r="Q219" t="str">
        <f>IF(P219=0,"normal",IF(AND(P219&gt;=1,P219&lt;=8),"mild",IF(AND(P219&gt;=9,P219&lt;=15),"moderate",IF(P219&gt;15,"severe",""))))</f>
        <v>mild</v>
      </c>
      <c r="R219">
        <v>941</v>
      </c>
    </row>
    <row r="220" spans="1:18" x14ac:dyDescent="0.3">
      <c r="A220" s="3" t="s">
        <v>259</v>
      </c>
      <c r="B220">
        <v>34</v>
      </c>
      <c r="C220" t="s">
        <v>14</v>
      </c>
      <c r="D220" s="1">
        <v>44369</v>
      </c>
      <c r="E220" t="s">
        <v>15</v>
      </c>
      <c r="F220" s="9" t="s">
        <v>77</v>
      </c>
      <c r="G220" s="22">
        <v>0</v>
      </c>
      <c r="H220" s="9" t="s">
        <v>77</v>
      </c>
      <c r="I220" s="9" t="s">
        <v>77</v>
      </c>
      <c r="J220" s="9" t="s">
        <v>77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4</v>
      </c>
      <c r="Q220" t="str">
        <f>IF(P220=0,"normal",IF(AND(P220&gt;=1,P220&lt;=8),"mild",IF(AND(P220&gt;=9,P220&lt;=15),"moderate",IF(P220&gt;15,"severe",""))))</f>
        <v>mild</v>
      </c>
      <c r="R220">
        <v>961</v>
      </c>
    </row>
    <row r="221" spans="1:18" x14ac:dyDescent="0.3">
      <c r="A221" s="3" t="s">
        <v>260</v>
      </c>
      <c r="B221">
        <v>30</v>
      </c>
      <c r="C221" t="s">
        <v>10</v>
      </c>
      <c r="D221" s="1">
        <v>44455</v>
      </c>
      <c r="E221" t="s">
        <v>208</v>
      </c>
      <c r="F221" s="9" t="s">
        <v>77</v>
      </c>
      <c r="G221" s="9" t="s">
        <v>77</v>
      </c>
      <c r="H221" s="9" t="s">
        <v>77</v>
      </c>
      <c r="I221" s="9" t="s">
        <v>77</v>
      </c>
      <c r="J221" s="22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4</v>
      </c>
      <c r="Q221" t="str">
        <f>IF(P221=0,"normal",IF(AND(P221&gt;=1,P221&lt;=8),"mild",IF(AND(P221&gt;=9,P221&lt;=15),"moderate",IF(P221&gt;15,"severe",""))))</f>
        <v>mild</v>
      </c>
      <c r="R221">
        <v>1156</v>
      </c>
    </row>
    <row r="222" spans="1:18" x14ac:dyDescent="0.3">
      <c r="A222" s="4" t="s">
        <v>261</v>
      </c>
      <c r="B222">
        <v>30</v>
      </c>
      <c r="C222" t="s">
        <v>10</v>
      </c>
      <c r="D222" s="1">
        <v>44366</v>
      </c>
      <c r="E222" t="s">
        <v>344</v>
      </c>
      <c r="F222" s="9" t="str">
        <f t="shared" ref="F222:J223" si="11">IF(K222=0,"0%",IF(K222=1,"&lt;5%",IF(K222=2,"5-25%",IF(K222=3,"26-49%",IF(K222=4,"50-75%",IF(K222=5,"&gt;75%"))))))</f>
        <v>0%</v>
      </c>
      <c r="G222" s="9" t="str">
        <f t="shared" si="11"/>
        <v>&lt;5%</v>
      </c>
      <c r="H222" s="9" t="str">
        <f t="shared" si="11"/>
        <v>&lt;5%</v>
      </c>
      <c r="I222" s="9" t="str">
        <f t="shared" si="11"/>
        <v>&lt;5%</v>
      </c>
      <c r="J222" s="9" t="str">
        <f t="shared" si="11"/>
        <v>&lt;5%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4</v>
      </c>
      <c r="Q222" t="str">
        <f>IF(P222=0,"normal",IF(AND(P222&gt;=1,P222&lt;=8),"mild",IF(AND(P222&gt;=9,P222&lt;=15),"moderate",IF(P222&gt;15,"severe",""))))</f>
        <v>mild</v>
      </c>
      <c r="R222">
        <v>69</v>
      </c>
    </row>
    <row r="223" spans="1:18" x14ac:dyDescent="0.3">
      <c r="A223" s="4" t="s">
        <v>262</v>
      </c>
      <c r="B223">
        <v>35</v>
      </c>
      <c r="C223" t="s">
        <v>10</v>
      </c>
      <c r="D223" s="1">
        <v>44506</v>
      </c>
      <c r="E223" t="s">
        <v>333</v>
      </c>
      <c r="F223" s="9" t="str">
        <f t="shared" si="11"/>
        <v>&lt;5%</v>
      </c>
      <c r="G223" s="9" t="str">
        <f t="shared" si="11"/>
        <v>0%</v>
      </c>
      <c r="H223" s="9" t="str">
        <f t="shared" si="11"/>
        <v>&lt;5%</v>
      </c>
      <c r="I223" s="9" t="str">
        <f t="shared" si="11"/>
        <v>&lt;5%</v>
      </c>
      <c r="J223" s="9" t="str">
        <f t="shared" si="11"/>
        <v>&lt;5%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4</v>
      </c>
      <c r="Q223" t="str">
        <f>IF(P223=0,"normal",IF(AND(P223&gt;=1,P223&lt;=8),"mild",IF(AND(P223&gt;=9,P223&lt;=15),"moderate",IF(P223&gt;15,"severe",""))))</f>
        <v>mild</v>
      </c>
      <c r="R223">
        <v>71</v>
      </c>
    </row>
    <row r="224" spans="1:18" x14ac:dyDescent="0.3">
      <c r="A224" s="3" t="s">
        <v>263</v>
      </c>
      <c r="B224">
        <v>27</v>
      </c>
      <c r="C224" t="s">
        <v>10</v>
      </c>
      <c r="D224" s="1">
        <v>44364</v>
      </c>
      <c r="E224" t="s">
        <v>264</v>
      </c>
      <c r="F224" s="22">
        <v>0</v>
      </c>
      <c r="G224" s="22">
        <v>0</v>
      </c>
      <c r="H224" s="9" t="s">
        <v>77</v>
      </c>
      <c r="I224" s="9" t="s">
        <v>77</v>
      </c>
      <c r="J224" s="9" t="s">
        <v>77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3</v>
      </c>
      <c r="Q224" t="str">
        <f>IF(P224=0,"normal",IF(AND(P224&gt;=1,P224&lt;=8),"mild",IF(AND(P224&gt;=9,P224&lt;=15),"moderate",IF(P224&gt;15,"severe",""))))</f>
        <v>mild</v>
      </c>
      <c r="R224">
        <v>921</v>
      </c>
    </row>
    <row r="225" spans="1:18" x14ac:dyDescent="0.3">
      <c r="A225" s="3" t="s">
        <v>265</v>
      </c>
      <c r="B225">
        <v>21</v>
      </c>
      <c r="C225" t="s">
        <v>14</v>
      </c>
      <c r="D225" s="1">
        <v>44252</v>
      </c>
      <c r="E225" t="s">
        <v>266</v>
      </c>
      <c r="F225" s="9" t="s">
        <v>77</v>
      </c>
      <c r="G225" s="22">
        <v>0</v>
      </c>
      <c r="H225" s="9" t="s">
        <v>77</v>
      </c>
      <c r="I225" s="22">
        <v>0</v>
      </c>
      <c r="J225" s="9" t="s">
        <v>77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3</v>
      </c>
      <c r="Q225" t="str">
        <f>IF(P225=0,"normal",IF(AND(P225&gt;=1,P225&lt;=8),"mild",IF(AND(P225&gt;=9,P225&lt;=15),"moderate",IF(P225&gt;15,"severe",""))))</f>
        <v>mild</v>
      </c>
      <c r="R225">
        <v>1181</v>
      </c>
    </row>
    <row r="226" spans="1:18" x14ac:dyDescent="0.3">
      <c r="A226" s="3" t="s">
        <v>267</v>
      </c>
      <c r="B226">
        <v>42</v>
      </c>
      <c r="C226" t="s">
        <v>14</v>
      </c>
      <c r="D226" s="1">
        <v>44301</v>
      </c>
      <c r="E226" t="s">
        <v>268</v>
      </c>
      <c r="F226" s="9" t="s">
        <v>77</v>
      </c>
      <c r="G226" s="22">
        <v>0</v>
      </c>
      <c r="H226" s="9" t="s">
        <v>77</v>
      </c>
      <c r="I226" s="22">
        <v>0</v>
      </c>
      <c r="J226" s="9" t="s">
        <v>77</v>
      </c>
      <c r="K226">
        <v>1</v>
      </c>
      <c r="L226">
        <v>0</v>
      </c>
      <c r="M226">
        <v>1</v>
      </c>
      <c r="N226">
        <v>0</v>
      </c>
      <c r="O226">
        <v>1</v>
      </c>
      <c r="P226">
        <v>3</v>
      </c>
      <c r="Q226" t="str">
        <f>IF(P226=0,"normal",IF(AND(P226&gt;=1,P226&lt;=8),"mild",IF(AND(P226&gt;=9,P226&lt;=15),"moderate",IF(P226&gt;15,"severe",""))))</f>
        <v>mild</v>
      </c>
      <c r="R226">
        <v>1201</v>
      </c>
    </row>
    <row r="227" spans="1:18" x14ac:dyDescent="0.3">
      <c r="A227" s="4" t="s">
        <v>269</v>
      </c>
      <c r="B227">
        <v>24</v>
      </c>
      <c r="C227" t="s">
        <v>10</v>
      </c>
      <c r="D227" s="1">
        <v>44383</v>
      </c>
      <c r="E227" t="s">
        <v>335</v>
      </c>
      <c r="F227" t="str">
        <f>IF(K227=0,"0%",IF(K227=1,"&lt;5%",IF(K227=2,"5-25%",IF(K227=3,"26-49%",IF(K227=4,"50-75%",IF(K227=5,"&gt;75%"))))))</f>
        <v>&lt;5%</v>
      </c>
      <c r="G227" t="str">
        <f t="shared" ref="G227:J228" si="12">IF(L227=0,"0%",IF(L227=1,"&lt;5%",IF(L227=2,"5-25%",IF(L227=3,"26-49%",IF(L227=4,"50-75%",IF(L227=5,"&gt;75%"))))))</f>
        <v>0%</v>
      </c>
      <c r="H227" t="str">
        <f t="shared" si="12"/>
        <v>&lt;5%</v>
      </c>
      <c r="I227" t="str">
        <f t="shared" si="12"/>
        <v>0%</v>
      </c>
      <c r="J227" t="str">
        <f t="shared" si="12"/>
        <v>&lt;5%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3</v>
      </c>
      <c r="Q227" t="str">
        <f>IF(P227=0,"normal",IF(AND(P227&gt;=1,P227&lt;=8),"mild",IF(AND(P227&gt;=9,P227&lt;=15),"moderate",IF(P227&gt;15,"severe",""))))</f>
        <v>mild</v>
      </c>
      <c r="R227">
        <v>65</v>
      </c>
    </row>
    <row r="228" spans="1:18" x14ac:dyDescent="0.3">
      <c r="A228" s="4" t="s">
        <v>270</v>
      </c>
      <c r="B228">
        <v>62</v>
      </c>
      <c r="C228" t="s">
        <v>10</v>
      </c>
      <c r="D228" s="1">
        <v>44383</v>
      </c>
      <c r="E228" t="s">
        <v>333</v>
      </c>
      <c r="F228" t="str">
        <f>IF(K228=0,"0%",IF(K228=1,"&lt;5%",IF(K228=2,"5-25%",IF(K228=3,"26-49%",IF(K228=4,"50-75%",IF(K228=5,"&gt;75%"))))))</f>
        <v>0%</v>
      </c>
      <c r="G228" t="str">
        <f t="shared" si="12"/>
        <v>5-25%</v>
      </c>
      <c r="H228" t="str">
        <f t="shared" si="12"/>
        <v>0%</v>
      </c>
      <c r="I228" t="str">
        <f t="shared" si="12"/>
        <v>0%</v>
      </c>
      <c r="J228" t="str">
        <f t="shared" si="12"/>
        <v>&lt;5%</v>
      </c>
      <c r="K228">
        <v>0</v>
      </c>
      <c r="L228">
        <v>2</v>
      </c>
      <c r="M228">
        <v>0</v>
      </c>
      <c r="N228">
        <v>0</v>
      </c>
      <c r="O228">
        <v>1</v>
      </c>
      <c r="P228">
        <v>3</v>
      </c>
      <c r="Q228" t="str">
        <f>IF(P228=0,"normal",IF(AND(P228&gt;=1,P228&lt;=8),"mild",IF(AND(P228&gt;=9,P228&lt;=15),"moderate",IF(P228&gt;15,"severe",""))))</f>
        <v>mild</v>
      </c>
      <c r="R228">
        <v>69</v>
      </c>
    </row>
    <row r="229" spans="1:18" x14ac:dyDescent="0.3">
      <c r="A229" s="3" t="s">
        <v>271</v>
      </c>
      <c r="B229">
        <v>26</v>
      </c>
      <c r="C229" t="s">
        <v>14</v>
      </c>
      <c r="D229" s="1">
        <v>44505</v>
      </c>
      <c r="E229" t="s">
        <v>223</v>
      </c>
      <c r="F229" s="22">
        <v>0</v>
      </c>
      <c r="G229" s="22">
        <v>0</v>
      </c>
      <c r="H229" s="9" t="s">
        <v>77</v>
      </c>
      <c r="I229" s="9" t="s">
        <v>77</v>
      </c>
      <c r="J229" s="22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2</v>
      </c>
      <c r="Q229" t="str">
        <f>IF(P229=0,"normal",IF(AND(P229&gt;=1,P229&lt;=8),"mild",IF(AND(P229&gt;=9,P229&lt;=15),"moderate",IF(P229&gt;15,"severe",""))))</f>
        <v>mild</v>
      </c>
      <c r="R229">
        <v>941</v>
      </c>
    </row>
    <row r="230" spans="1:18" x14ac:dyDescent="0.3">
      <c r="A230" s="3" t="s">
        <v>272</v>
      </c>
      <c r="B230">
        <v>50</v>
      </c>
      <c r="C230" t="s">
        <v>10</v>
      </c>
      <c r="D230" s="1">
        <v>44322</v>
      </c>
      <c r="E230" t="s">
        <v>208</v>
      </c>
      <c r="F230" s="9" t="s">
        <v>77</v>
      </c>
      <c r="G230" s="22">
        <v>0</v>
      </c>
      <c r="H230" s="22">
        <v>0</v>
      </c>
      <c r="I230" s="9" t="s">
        <v>77</v>
      </c>
      <c r="J230" s="22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2</v>
      </c>
      <c r="Q230" t="str">
        <f>IF(P230=0,"normal",IF(AND(P230&gt;=1,P230&lt;=8),"mild",IF(AND(P230&gt;=9,P230&lt;=15),"moderate",IF(P230&gt;15,"severe",""))))</f>
        <v>mild</v>
      </c>
      <c r="R230">
        <v>1241</v>
      </c>
    </row>
    <row r="231" spans="1:18" x14ac:dyDescent="0.3">
      <c r="A231" s="3" t="s">
        <v>273</v>
      </c>
      <c r="B231">
        <v>47</v>
      </c>
      <c r="C231" t="s">
        <v>14</v>
      </c>
      <c r="D231" s="1">
        <v>44342</v>
      </c>
      <c r="E231" t="s">
        <v>223</v>
      </c>
      <c r="F231" s="22">
        <v>0</v>
      </c>
      <c r="G231" s="22">
        <v>0</v>
      </c>
      <c r="H231" s="9" t="s">
        <v>77</v>
      </c>
      <c r="I231" s="22">
        <v>0</v>
      </c>
      <c r="J231" s="9" t="s">
        <v>77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2</v>
      </c>
      <c r="Q231" t="str">
        <f>IF(P231=0,"normal",IF(AND(P231&gt;=1,P231&lt;=8),"mild",IF(AND(P231&gt;=9,P231&lt;=15),"moderate",IF(P231&gt;15,"severe",""))))</f>
        <v>mild</v>
      </c>
      <c r="R231">
        <v>941</v>
      </c>
    </row>
    <row r="232" spans="1:18" x14ac:dyDescent="0.3">
      <c r="A232" s="3" t="s">
        <v>274</v>
      </c>
      <c r="B232">
        <v>37</v>
      </c>
      <c r="C232" t="s">
        <v>10</v>
      </c>
      <c r="D232" s="1">
        <v>44389</v>
      </c>
      <c r="E232" t="s">
        <v>223</v>
      </c>
      <c r="F232" s="22">
        <v>0</v>
      </c>
      <c r="G232" s="22">
        <v>0</v>
      </c>
      <c r="H232" s="9" t="s">
        <v>77</v>
      </c>
      <c r="I232" s="22">
        <v>0</v>
      </c>
      <c r="J232" s="9" t="s">
        <v>77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2</v>
      </c>
      <c r="Q232" t="str">
        <f>IF(P232=0,"normal",IF(AND(P232&gt;=1,P232&lt;=8),"mild",IF(AND(P232&gt;=9,P232&lt;=15),"moderate",IF(P232&gt;15,"severe",""))))</f>
        <v>mild</v>
      </c>
      <c r="R232">
        <v>59</v>
      </c>
    </row>
    <row r="233" spans="1:18" x14ac:dyDescent="0.3">
      <c r="A233" s="3" t="s">
        <v>275</v>
      </c>
      <c r="B233">
        <v>1</v>
      </c>
      <c r="C233" t="s">
        <v>10</v>
      </c>
      <c r="D233" s="1">
        <v>44292</v>
      </c>
      <c r="E233" t="s">
        <v>248</v>
      </c>
      <c r="F233" s="22">
        <v>0</v>
      </c>
      <c r="G233" s="22">
        <v>0</v>
      </c>
      <c r="H233" s="9" t="s">
        <v>77</v>
      </c>
      <c r="I233" s="22">
        <v>0</v>
      </c>
      <c r="J233" s="9" t="s">
        <v>77</v>
      </c>
      <c r="K233" s="21">
        <v>0</v>
      </c>
      <c r="L233">
        <v>0</v>
      </c>
      <c r="M233">
        <v>1</v>
      </c>
      <c r="N233">
        <v>0</v>
      </c>
      <c r="O233">
        <v>1</v>
      </c>
      <c r="P233">
        <v>2</v>
      </c>
      <c r="Q233" t="str">
        <f>IF(P233=0,"normal",IF(AND(P233&gt;=1,P233&lt;=8),"mild",IF(AND(P233&gt;=9,P233&lt;=15),"moderate",IF(P233&gt;15,"severe",""))))</f>
        <v>mild</v>
      </c>
      <c r="R233">
        <v>881</v>
      </c>
    </row>
    <row r="234" spans="1:18" x14ac:dyDescent="0.3">
      <c r="A234" s="3" t="s">
        <v>276</v>
      </c>
      <c r="B234">
        <v>60</v>
      </c>
      <c r="C234" t="s">
        <v>10</v>
      </c>
      <c r="D234" s="1">
        <v>44534</v>
      </c>
      <c r="E234" t="s">
        <v>223</v>
      </c>
      <c r="F234" s="22">
        <v>0</v>
      </c>
      <c r="G234" s="9" t="s">
        <v>77</v>
      </c>
      <c r="H234" s="9" t="s">
        <v>77</v>
      </c>
      <c r="I234" s="22">
        <v>0</v>
      </c>
      <c r="J234" s="22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2</v>
      </c>
      <c r="Q234" t="str">
        <f>IF(P234=0,"normal",IF(AND(P234&gt;=1,P234&lt;=8),"mild",IF(AND(P234&gt;=9,P234&lt;=15),"moderate",IF(P234&gt;15,"severe",""))))</f>
        <v>mild</v>
      </c>
      <c r="R234">
        <v>1341</v>
      </c>
    </row>
    <row r="235" spans="1:18" x14ac:dyDescent="0.3">
      <c r="A235" s="3" t="s">
        <v>277</v>
      </c>
      <c r="B235">
        <v>19</v>
      </c>
      <c r="C235" t="s">
        <v>10</v>
      </c>
      <c r="D235" s="1">
        <v>44430</v>
      </c>
      <c r="E235" t="s">
        <v>278</v>
      </c>
      <c r="F235" s="22">
        <v>0</v>
      </c>
      <c r="G235" s="22">
        <v>0</v>
      </c>
      <c r="H235" s="22">
        <v>0</v>
      </c>
      <c r="I235" s="22">
        <v>0</v>
      </c>
      <c r="J235" s="9" t="s">
        <v>52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2</v>
      </c>
      <c r="Q235" t="str">
        <f>IF(P235=0,"normal",IF(AND(P235&gt;=1,P235&lt;=8),"mild",IF(AND(P235&gt;=9,P235&lt;=15),"moderate",IF(P235&gt;15,"severe",""))))</f>
        <v>mild</v>
      </c>
      <c r="R235">
        <v>1341</v>
      </c>
    </row>
    <row r="236" spans="1:18" x14ac:dyDescent="0.3">
      <c r="A236" s="3" t="s">
        <v>279</v>
      </c>
      <c r="B236">
        <v>48</v>
      </c>
      <c r="C236" t="s">
        <v>10</v>
      </c>
      <c r="D236" s="1">
        <v>44306</v>
      </c>
      <c r="E236" t="s">
        <v>280</v>
      </c>
      <c r="F236" s="22">
        <v>0</v>
      </c>
      <c r="G236" s="22">
        <v>0</v>
      </c>
      <c r="H236" s="9" t="s">
        <v>77</v>
      </c>
      <c r="I236" s="22">
        <v>0</v>
      </c>
      <c r="J236" s="9" t="s">
        <v>77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2</v>
      </c>
      <c r="Q236" t="str">
        <f>IF(P236=0,"normal",IF(AND(P236&gt;=1,P236&lt;=8),"mild",IF(AND(P236&gt;=9,P236&lt;=15),"moderate",IF(P236&gt;15,"severe",""))))</f>
        <v>mild</v>
      </c>
      <c r="R236">
        <v>1001</v>
      </c>
    </row>
    <row r="237" spans="1:18" x14ac:dyDescent="0.3">
      <c r="A237" s="3" t="s">
        <v>281</v>
      </c>
      <c r="B237">
        <v>73</v>
      </c>
      <c r="C237" t="s">
        <v>10</v>
      </c>
      <c r="D237" s="1">
        <v>44506</v>
      </c>
      <c r="E237" t="s">
        <v>282</v>
      </c>
      <c r="F237" s="22">
        <v>0</v>
      </c>
      <c r="G237" s="22">
        <v>0</v>
      </c>
      <c r="H237" s="9" t="s">
        <v>52</v>
      </c>
      <c r="I237" s="22">
        <v>0</v>
      </c>
      <c r="J237" s="22">
        <v>0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2</v>
      </c>
      <c r="Q237" t="str">
        <f>IF(P237=0,"normal",IF(AND(P237&gt;=1,P237&lt;=8),"mild",IF(AND(P237&gt;=9,P237&lt;=15),"moderate",IF(P237&gt;15,"severe",""))))</f>
        <v>mild</v>
      </c>
      <c r="R237">
        <v>1321</v>
      </c>
    </row>
    <row r="238" spans="1:18" x14ac:dyDescent="0.3">
      <c r="A238" s="3" t="s">
        <v>283</v>
      </c>
      <c r="B238">
        <v>28</v>
      </c>
      <c r="C238" t="s">
        <v>14</v>
      </c>
      <c r="D238" s="1">
        <v>44453</v>
      </c>
      <c r="E238" t="s">
        <v>282</v>
      </c>
      <c r="F238" s="22">
        <v>0</v>
      </c>
      <c r="G238" s="22">
        <v>0</v>
      </c>
      <c r="H238" s="9" t="s">
        <v>52</v>
      </c>
      <c r="I238" s="22">
        <v>0</v>
      </c>
      <c r="J238" s="22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2</v>
      </c>
      <c r="Q238" t="str">
        <f>IF(P238=0,"normal",IF(AND(P238&gt;=1,P238&lt;=8),"mild",IF(AND(P238&gt;=9,P238&lt;=15),"moderate",IF(P238&gt;15,"severe",""))))</f>
        <v>mild</v>
      </c>
      <c r="R238">
        <v>1101</v>
      </c>
    </row>
    <row r="239" spans="1:18" x14ac:dyDescent="0.3">
      <c r="A239" s="3" t="s">
        <v>284</v>
      </c>
      <c r="B239">
        <v>33</v>
      </c>
      <c r="C239" t="s">
        <v>14</v>
      </c>
      <c r="D239" s="1">
        <v>44229</v>
      </c>
      <c r="E239" t="s">
        <v>285</v>
      </c>
      <c r="F239" s="22">
        <v>0</v>
      </c>
      <c r="G239" s="22">
        <v>0</v>
      </c>
      <c r="H239" s="9" t="s">
        <v>77</v>
      </c>
      <c r="I239" s="22">
        <v>0</v>
      </c>
      <c r="J239" s="9" t="s">
        <v>77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2</v>
      </c>
      <c r="Q239" t="str">
        <f>IF(P239=0,"normal",IF(AND(P239&gt;=1,P239&lt;=8),"mild",IF(AND(P239&gt;=9,P239&lt;=15),"moderate",IF(P239&gt;15,"severe",""))))</f>
        <v>mild</v>
      </c>
      <c r="R239">
        <v>1101</v>
      </c>
    </row>
    <row r="240" spans="1:18" x14ac:dyDescent="0.3">
      <c r="A240" s="3" t="s">
        <v>286</v>
      </c>
      <c r="B240">
        <v>70</v>
      </c>
      <c r="C240" t="s">
        <v>10</v>
      </c>
      <c r="D240" s="1">
        <v>44203</v>
      </c>
      <c r="E240" t="s">
        <v>223</v>
      </c>
      <c r="F240" s="22">
        <v>0</v>
      </c>
      <c r="G240" s="22">
        <v>0</v>
      </c>
      <c r="H240" s="9" t="s">
        <v>77</v>
      </c>
      <c r="I240" s="9" t="s">
        <v>77</v>
      </c>
      <c r="J240" s="22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2</v>
      </c>
      <c r="Q240" t="str">
        <f>IF(P240=0,"normal",IF(AND(P240&gt;=1,P240&lt;=8),"mild",IF(AND(P240&gt;=9,P240&lt;=15),"moderate",IF(P240&gt;15,"severe",""))))</f>
        <v>mild</v>
      </c>
      <c r="R240">
        <v>1161</v>
      </c>
    </row>
    <row r="241" spans="1:18" x14ac:dyDescent="0.3">
      <c r="A241" s="3" t="s">
        <v>287</v>
      </c>
      <c r="B241">
        <v>32</v>
      </c>
      <c r="C241" t="s">
        <v>10</v>
      </c>
      <c r="D241" s="1">
        <v>44366</v>
      </c>
      <c r="E241" t="s">
        <v>266</v>
      </c>
      <c r="F241" s="9" t="s">
        <v>77</v>
      </c>
      <c r="G241" s="22">
        <v>0</v>
      </c>
      <c r="H241" s="22">
        <v>0</v>
      </c>
      <c r="I241" s="9" t="s">
        <v>77</v>
      </c>
      <c r="J241" s="22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2</v>
      </c>
      <c r="Q241" t="str">
        <f>IF(P241=0,"normal",IF(AND(P241&gt;=1,P241&lt;=8),"mild",IF(AND(P241&gt;=9,P241&lt;=15),"moderate",IF(P241&gt;15,"severe",""))))</f>
        <v>mild</v>
      </c>
      <c r="R241">
        <v>1001</v>
      </c>
    </row>
    <row r="242" spans="1:18" x14ac:dyDescent="0.3">
      <c r="A242" s="4" t="s">
        <v>288</v>
      </c>
      <c r="B242">
        <v>27</v>
      </c>
      <c r="C242" t="s">
        <v>10</v>
      </c>
      <c r="D242" s="1">
        <v>44383</v>
      </c>
      <c r="E242" t="s">
        <v>345</v>
      </c>
      <c r="F242" s="9"/>
      <c r="G242" s="9"/>
      <c r="H242" s="9"/>
      <c r="I242" s="9"/>
      <c r="J242" s="9"/>
      <c r="K242">
        <v>1</v>
      </c>
      <c r="L242">
        <v>0</v>
      </c>
      <c r="M242">
        <v>1</v>
      </c>
      <c r="N242">
        <v>0</v>
      </c>
      <c r="O242">
        <v>0</v>
      </c>
      <c r="P242">
        <v>2</v>
      </c>
      <c r="Q242" t="str">
        <f>IF(P242=0,"normal",IF(AND(P242&gt;=1,P242&lt;=8),"mild",IF(AND(P242&gt;=9,P242&lt;=15),"moderate",IF(P242&gt;15,"severe",""))))</f>
        <v>mild</v>
      </c>
      <c r="R242">
        <v>66</v>
      </c>
    </row>
    <row r="243" spans="1:18" x14ac:dyDescent="0.3">
      <c r="A243" s="3" t="s">
        <v>289</v>
      </c>
      <c r="B243">
        <v>35</v>
      </c>
      <c r="C243" t="s">
        <v>14</v>
      </c>
      <c r="D243" s="1">
        <v>44322</v>
      </c>
      <c r="E243" t="s">
        <v>290</v>
      </c>
      <c r="F243" s="22">
        <v>0</v>
      </c>
      <c r="G243" s="22">
        <v>0</v>
      </c>
      <c r="H243" s="9" t="s">
        <v>77</v>
      </c>
      <c r="I243" s="22">
        <v>0</v>
      </c>
      <c r="J243" s="22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 t="str">
        <f>IF(P243=0,"normal",IF(AND(P243&gt;=1,P243&lt;=8),"mild",IF(AND(P243&gt;=9,P243&lt;=15),"moderate",IF(P243&gt;15,"severe",""))))</f>
        <v>mild</v>
      </c>
      <c r="R243">
        <v>921</v>
      </c>
    </row>
    <row r="244" spans="1:18" x14ac:dyDescent="0.3">
      <c r="A244" s="3" t="s">
        <v>291</v>
      </c>
      <c r="B244">
        <v>53</v>
      </c>
      <c r="C244" t="s">
        <v>10</v>
      </c>
      <c r="D244" s="1">
        <v>44231</v>
      </c>
      <c r="E244" t="s">
        <v>292</v>
      </c>
      <c r="F244" s="22">
        <v>0</v>
      </c>
      <c r="G244" s="22">
        <v>0</v>
      </c>
      <c r="H244" s="9" t="s">
        <v>77</v>
      </c>
      <c r="I244" s="22">
        <v>0</v>
      </c>
      <c r="J244" s="22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 t="str">
        <f>IF(P244=0,"normal",IF(AND(P244&gt;=1,P244&lt;=8),"mild",IF(AND(P244&gt;=9,P244&lt;=15),"moderate",IF(P244&gt;15,"severe",""))))</f>
        <v>mild</v>
      </c>
      <c r="R244">
        <v>1041</v>
      </c>
    </row>
    <row r="245" spans="1:18" x14ac:dyDescent="0.3">
      <c r="A245" s="3" t="s">
        <v>293</v>
      </c>
      <c r="B245">
        <v>16</v>
      </c>
      <c r="C245" t="s">
        <v>14</v>
      </c>
      <c r="D245" s="1">
        <v>44370</v>
      </c>
      <c r="E245" t="s">
        <v>294</v>
      </c>
      <c r="F245" s="9" t="s">
        <v>77</v>
      </c>
      <c r="G245" s="22">
        <v>0</v>
      </c>
      <c r="H245" s="22">
        <v>0</v>
      </c>
      <c r="I245" s="22">
        <v>0</v>
      </c>
      <c r="J245" s="22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 t="str">
        <f>IF(P245=0,"normal",IF(AND(P245&gt;=1,P245&lt;=8),"mild",IF(AND(P245&gt;=9,P245&lt;=15),"moderate",IF(P245&gt;15,"severe",""))))</f>
        <v>mild</v>
      </c>
      <c r="R245">
        <v>1121</v>
      </c>
    </row>
    <row r="246" spans="1:18" x14ac:dyDescent="0.3">
      <c r="A246" s="3" t="s">
        <v>295</v>
      </c>
      <c r="B246">
        <v>27</v>
      </c>
      <c r="C246" t="s">
        <v>10</v>
      </c>
      <c r="D246" s="1">
        <v>44538</v>
      </c>
      <c r="E246" t="s">
        <v>296</v>
      </c>
      <c r="F246" s="22">
        <v>0</v>
      </c>
      <c r="G246" s="22">
        <v>0</v>
      </c>
      <c r="H246" s="22">
        <v>0</v>
      </c>
      <c r="I246" s="22">
        <v>0</v>
      </c>
      <c r="J246" s="9" t="s">
        <v>77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 t="str">
        <f>IF(P246=0,"normal",IF(AND(P246&gt;=1,P246&lt;=8),"mild",IF(AND(P246&gt;=9,P246&lt;=15),"moderate",IF(P246&gt;15,"severe",""))))</f>
        <v>mild</v>
      </c>
      <c r="R246">
        <v>1241</v>
      </c>
    </row>
    <row r="247" spans="1:18" x14ac:dyDescent="0.3">
      <c r="A247" s="3" t="s">
        <v>297</v>
      </c>
      <c r="B247">
        <v>72</v>
      </c>
      <c r="C247" t="s">
        <v>14</v>
      </c>
      <c r="D247" s="1">
        <v>44504</v>
      </c>
      <c r="E247" t="s">
        <v>266</v>
      </c>
      <c r="F247" s="22">
        <v>0</v>
      </c>
      <c r="G247" s="22">
        <v>0</v>
      </c>
      <c r="H247" s="9" t="s">
        <v>77</v>
      </c>
      <c r="I247" s="22">
        <v>0</v>
      </c>
      <c r="J247" s="22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 t="str">
        <f>IF(P247=0,"normal",IF(AND(P247&gt;=1,P247&lt;=8),"mild",IF(AND(P247&gt;=9,P247&lt;=15),"moderate",IF(P247&gt;15,"severe",""))))</f>
        <v>mild</v>
      </c>
      <c r="R247">
        <v>921</v>
      </c>
    </row>
    <row r="248" spans="1:18" x14ac:dyDescent="0.3">
      <c r="A248" s="3" t="s">
        <v>298</v>
      </c>
      <c r="B248">
        <v>18</v>
      </c>
      <c r="C248" t="s">
        <v>10</v>
      </c>
      <c r="D248" s="1">
        <v>44361</v>
      </c>
      <c r="E248" t="s">
        <v>299</v>
      </c>
      <c r="F248" s="22">
        <v>0</v>
      </c>
      <c r="G248" s="22">
        <v>0</v>
      </c>
      <c r="H248" s="9" t="s">
        <v>77</v>
      </c>
      <c r="I248" s="22">
        <v>0</v>
      </c>
      <c r="J248" s="22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 t="str">
        <f>IF(P248=0,"normal",IF(AND(P248&gt;=1,P248&lt;=8),"mild",IF(AND(P248&gt;=9,P248&lt;=15),"moderate",IF(P248&gt;15,"severe",""))))</f>
        <v>mild</v>
      </c>
      <c r="R248">
        <v>1101</v>
      </c>
    </row>
    <row r="249" spans="1:18" x14ac:dyDescent="0.3">
      <c r="A249" s="3" t="s">
        <v>300</v>
      </c>
      <c r="B249">
        <v>30</v>
      </c>
      <c r="C249" t="s">
        <v>14</v>
      </c>
      <c r="D249" s="1">
        <v>44363</v>
      </c>
      <c r="E249" t="s">
        <v>299</v>
      </c>
      <c r="F249" s="22">
        <v>0</v>
      </c>
      <c r="G249" s="22">
        <v>0</v>
      </c>
      <c r="H249" s="22">
        <v>0</v>
      </c>
      <c r="I249" s="22">
        <v>0</v>
      </c>
      <c r="J249" s="9" t="s">
        <v>77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 t="str">
        <f>IF(P249=0,"normal",IF(AND(P249&gt;=1,P249&lt;=8),"mild",IF(AND(P249&gt;=9,P249&lt;=15),"moderate",IF(P249&gt;15,"severe",""))))</f>
        <v>mild</v>
      </c>
      <c r="R249">
        <v>1201</v>
      </c>
    </row>
    <row r="250" spans="1:18" x14ac:dyDescent="0.3">
      <c r="A250" s="3" t="s">
        <v>301</v>
      </c>
      <c r="B250">
        <v>73</v>
      </c>
      <c r="C250" t="s">
        <v>10</v>
      </c>
      <c r="D250" s="1">
        <v>44334</v>
      </c>
      <c r="E250" t="s">
        <v>365</v>
      </c>
      <c r="F250" s="9" t="str">
        <f>IF(K250=0,"0%",IF(K250=1,"&lt;5%",IF(K250=2,"5-25%",IF(K250=3,"26-49%",IF(K250=4,"50-75%",IF(K250=5,"&gt;75%"))))))</f>
        <v>0%</v>
      </c>
      <c r="G250" s="9" t="str">
        <f t="shared" ref="G250:J265" si="13">IF(L250=0,"0%",IF(L250=1,"&lt;5%",IF(L250=2,"5-25%",IF(L250=3,"26-49%",IF(L250=4,"50-75%",IF(L250=5,"&gt;75%"))))))</f>
        <v>0%</v>
      </c>
      <c r="H250" s="9" t="str">
        <f t="shared" si="13"/>
        <v>0%</v>
      </c>
      <c r="I250" s="9" t="str">
        <f t="shared" si="13"/>
        <v>0%</v>
      </c>
      <c r="J250" s="9" t="str">
        <f t="shared" si="13"/>
        <v>0%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tr">
        <f>IF(P250=0,"normal",IF(AND(P250&gt;=1,P250&lt;=8),"mild",IF(AND(P250&gt;=9,P250&lt;=15),"moderate",IF(P250&gt;15,"severe",""))))</f>
        <v>normal</v>
      </c>
      <c r="R250">
        <v>1962</v>
      </c>
    </row>
    <row r="251" spans="1:18" x14ac:dyDescent="0.3">
      <c r="A251" s="3" t="s">
        <v>303</v>
      </c>
      <c r="B251">
        <v>60</v>
      </c>
      <c r="C251" t="s">
        <v>14</v>
      </c>
      <c r="D251" s="1">
        <v>44414</v>
      </c>
      <c r="E251" t="s">
        <v>365</v>
      </c>
      <c r="F251" s="9" t="str">
        <f t="shared" ref="F251:J266" si="14">IF(K251=0,"0%",IF(K251=1,"&lt;5%",IF(K251=2,"5-25%",IF(K251=3,"26-49%",IF(K251=4,"50-75%",IF(K251=5,"&gt;75%"))))))</f>
        <v>0%</v>
      </c>
      <c r="G251" s="9" t="str">
        <f t="shared" si="13"/>
        <v>0%</v>
      </c>
      <c r="H251" s="9" t="str">
        <f t="shared" si="13"/>
        <v>0%</v>
      </c>
      <c r="I251" s="9" t="str">
        <f t="shared" si="13"/>
        <v>0%</v>
      </c>
      <c r="J251" s="9" t="str">
        <f>IF(O251=0,"0%",IF(O251=1,"&lt;5%",IF(O251=2,"5-25%",IF(O251=3,"26-49%",IF(O251=4,"50-75%",IF(O251=5,"&gt;75%"))))))</f>
        <v>0%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tr">
        <f>IF(P251=0,"normal",IF(AND(P251&gt;=1,P251&lt;=8),"mild",IF(AND(P251&gt;=9,P251&lt;=15),"moderate",IF(P251&gt;15,"severe",""))))</f>
        <v>normal</v>
      </c>
      <c r="R251">
        <v>1201</v>
      </c>
    </row>
    <row r="252" spans="1:18" x14ac:dyDescent="0.3">
      <c r="A252" s="3" t="s">
        <v>304</v>
      </c>
      <c r="B252">
        <v>68</v>
      </c>
      <c r="C252" t="s">
        <v>10</v>
      </c>
      <c r="D252" s="1">
        <v>44332</v>
      </c>
      <c r="E252" t="s">
        <v>365</v>
      </c>
      <c r="F252" s="9" t="str">
        <f t="shared" si="14"/>
        <v>0%</v>
      </c>
      <c r="G252" s="9" t="str">
        <f t="shared" si="13"/>
        <v>0%</v>
      </c>
      <c r="H252" s="9" t="str">
        <f t="shared" si="13"/>
        <v>0%</v>
      </c>
      <c r="I252" s="9" t="str">
        <f t="shared" si="13"/>
        <v>0%</v>
      </c>
      <c r="J252" s="9" t="str">
        <f t="shared" si="13"/>
        <v>0%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tr">
        <f>IF(P252=0,"normal",IF(AND(P252&gt;=1,P252&lt;=8),"mild",IF(AND(P252&gt;=9,P252&lt;=15),"moderate",IF(P252&gt;15,"severe",""))))</f>
        <v>normal</v>
      </c>
      <c r="R252">
        <v>1241</v>
      </c>
    </row>
    <row r="253" spans="1:18" x14ac:dyDescent="0.3">
      <c r="A253" s="3" t="s">
        <v>305</v>
      </c>
      <c r="B253">
        <v>72</v>
      </c>
      <c r="C253" t="s">
        <v>14</v>
      </c>
      <c r="D253" s="1">
        <v>44419</v>
      </c>
      <c r="E253" t="s">
        <v>201</v>
      </c>
      <c r="F253" s="9" t="str">
        <f t="shared" si="14"/>
        <v>0%</v>
      </c>
      <c r="G253" s="9" t="str">
        <f t="shared" si="13"/>
        <v>0%</v>
      </c>
      <c r="H253" s="9" t="str">
        <f t="shared" si="13"/>
        <v>0%</v>
      </c>
      <c r="I253" s="9" t="str">
        <f t="shared" si="13"/>
        <v>0%</v>
      </c>
      <c r="J253" s="9" t="str">
        <f t="shared" si="13"/>
        <v>0%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tr">
        <f>IF(P253=0,"normal",IF(AND(P253&gt;=1,P253&lt;=8),"mild",IF(AND(P253&gt;=9,P253&lt;=15),"moderate",IF(P253&gt;15,"severe",""))))</f>
        <v>normal</v>
      </c>
      <c r="R253">
        <v>1141</v>
      </c>
    </row>
    <row r="254" spans="1:18" x14ac:dyDescent="0.3">
      <c r="A254" s="3" t="s">
        <v>306</v>
      </c>
      <c r="B254">
        <v>61</v>
      </c>
      <c r="C254" t="s">
        <v>10</v>
      </c>
      <c r="D254" s="1">
        <v>44400</v>
      </c>
      <c r="E254" t="s">
        <v>382</v>
      </c>
      <c r="F254" s="9" t="str">
        <f t="shared" si="14"/>
        <v>0%</v>
      </c>
      <c r="G254" s="9" t="str">
        <f t="shared" si="13"/>
        <v>0%</v>
      </c>
      <c r="H254" s="9" t="str">
        <f t="shared" si="13"/>
        <v>0%</v>
      </c>
      <c r="I254" s="9" t="str">
        <f t="shared" si="13"/>
        <v>0%</v>
      </c>
      <c r="J254" s="9" t="str">
        <f t="shared" si="13"/>
        <v>0%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382</v>
      </c>
      <c r="R254">
        <v>1141</v>
      </c>
    </row>
    <row r="255" spans="1:18" x14ac:dyDescent="0.3">
      <c r="A255" s="3" t="s">
        <v>307</v>
      </c>
      <c r="B255">
        <v>38</v>
      </c>
      <c r="C255" t="s">
        <v>14</v>
      </c>
      <c r="D255" s="1">
        <v>44345</v>
      </c>
      <c r="E255" t="s">
        <v>308</v>
      </c>
      <c r="F255" s="9" t="str">
        <f t="shared" si="14"/>
        <v>0%</v>
      </c>
      <c r="G255" s="9" t="str">
        <f t="shared" si="13"/>
        <v>0%</v>
      </c>
      <c r="H255" s="9" t="str">
        <f t="shared" si="13"/>
        <v>0%</v>
      </c>
      <c r="I255" s="9" t="str">
        <f t="shared" si="13"/>
        <v>0%</v>
      </c>
      <c r="J255" s="9" t="str">
        <f t="shared" si="13"/>
        <v>0%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382</v>
      </c>
      <c r="R255">
        <v>1081</v>
      </c>
    </row>
    <row r="256" spans="1:18" x14ac:dyDescent="0.3">
      <c r="A256" s="3" t="s">
        <v>309</v>
      </c>
      <c r="B256">
        <v>60</v>
      </c>
      <c r="C256" t="s">
        <v>10</v>
      </c>
      <c r="D256" s="1">
        <v>44331</v>
      </c>
      <c r="E256" t="s">
        <v>382</v>
      </c>
      <c r="F256" s="9" t="str">
        <f t="shared" si="14"/>
        <v>0%</v>
      </c>
      <c r="G256" s="9" t="str">
        <f t="shared" si="13"/>
        <v>0%</v>
      </c>
      <c r="H256" s="9" t="str">
        <f t="shared" si="13"/>
        <v>0%</v>
      </c>
      <c r="I256" s="9" t="str">
        <f t="shared" si="13"/>
        <v>0%</v>
      </c>
      <c r="J256" s="9" t="str">
        <f t="shared" si="13"/>
        <v>0%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382</v>
      </c>
      <c r="R256">
        <v>1161</v>
      </c>
    </row>
    <row r="257" spans="1:18" x14ac:dyDescent="0.3">
      <c r="A257" s="3" t="s">
        <v>310</v>
      </c>
      <c r="B257">
        <v>47</v>
      </c>
      <c r="C257" t="s">
        <v>10</v>
      </c>
      <c r="D257" s="1">
        <v>44434</v>
      </c>
      <c r="E257" t="s">
        <v>382</v>
      </c>
      <c r="F257" s="9" t="str">
        <f t="shared" si="14"/>
        <v>0%</v>
      </c>
      <c r="G257" s="9" t="str">
        <f t="shared" si="13"/>
        <v>0%</v>
      </c>
      <c r="H257" s="9" t="str">
        <f t="shared" si="13"/>
        <v>0%</v>
      </c>
      <c r="I257" s="9" t="str">
        <f t="shared" si="13"/>
        <v>0%</v>
      </c>
      <c r="J257" s="9" t="str">
        <f t="shared" si="13"/>
        <v>0%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382</v>
      </c>
      <c r="R257">
        <v>1321</v>
      </c>
    </row>
    <row r="258" spans="1:18" x14ac:dyDescent="0.3">
      <c r="A258" s="3" t="s">
        <v>311</v>
      </c>
      <c r="B258">
        <v>80</v>
      </c>
      <c r="C258" t="s">
        <v>10</v>
      </c>
      <c r="D258" s="1">
        <v>44261</v>
      </c>
      <c r="E258" t="s">
        <v>382</v>
      </c>
      <c r="F258" s="9" t="str">
        <f t="shared" si="14"/>
        <v>0%</v>
      </c>
      <c r="G258" s="9" t="str">
        <f t="shared" si="13"/>
        <v>0%</v>
      </c>
      <c r="H258" s="9" t="str">
        <f t="shared" si="13"/>
        <v>0%</v>
      </c>
      <c r="I258" s="9" t="str">
        <f t="shared" si="13"/>
        <v>0%</v>
      </c>
      <c r="J258" s="9" t="str">
        <f t="shared" si="13"/>
        <v>0%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382</v>
      </c>
      <c r="R258">
        <v>1101</v>
      </c>
    </row>
    <row r="259" spans="1:18" x14ac:dyDescent="0.3">
      <c r="A259" s="3" t="s">
        <v>312</v>
      </c>
      <c r="B259">
        <v>72</v>
      </c>
      <c r="C259" t="s">
        <v>10</v>
      </c>
      <c r="D259" s="1">
        <v>44324</v>
      </c>
      <c r="E259" t="s">
        <v>382</v>
      </c>
      <c r="F259" s="9" t="str">
        <f t="shared" si="14"/>
        <v>0%</v>
      </c>
      <c r="G259" s="9" t="str">
        <f t="shared" si="13"/>
        <v>0%</v>
      </c>
      <c r="H259" s="9" t="str">
        <f t="shared" si="13"/>
        <v>0%</v>
      </c>
      <c r="I259" s="9" t="str">
        <f t="shared" si="13"/>
        <v>0%</v>
      </c>
      <c r="J259" s="9" t="str">
        <f t="shared" si="13"/>
        <v>0%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382</v>
      </c>
      <c r="R259">
        <v>313</v>
      </c>
    </row>
    <row r="260" spans="1:18" x14ac:dyDescent="0.3">
      <c r="A260" s="3" t="s">
        <v>313</v>
      </c>
      <c r="B260">
        <v>65</v>
      </c>
      <c r="C260" t="s">
        <v>14</v>
      </c>
      <c r="D260" s="1">
        <v>44480</v>
      </c>
      <c r="E260" t="s">
        <v>382</v>
      </c>
      <c r="F260" s="9" t="str">
        <f t="shared" si="14"/>
        <v>0%</v>
      </c>
      <c r="G260" s="9" t="str">
        <f t="shared" si="13"/>
        <v>0%</v>
      </c>
      <c r="H260" s="9" t="str">
        <f t="shared" si="13"/>
        <v>0%</v>
      </c>
      <c r="I260" s="9" t="str">
        <f t="shared" si="13"/>
        <v>0%</v>
      </c>
      <c r="J260" s="9" t="str">
        <f t="shared" si="13"/>
        <v>0%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382</v>
      </c>
      <c r="R260">
        <v>1001</v>
      </c>
    </row>
    <row r="261" spans="1:18" x14ac:dyDescent="0.3">
      <c r="A261" s="3" t="s">
        <v>314</v>
      </c>
      <c r="B261">
        <v>73</v>
      </c>
      <c r="C261" t="s">
        <v>14</v>
      </c>
      <c r="D261" s="1">
        <v>44232</v>
      </c>
      <c r="E261" t="s">
        <v>382</v>
      </c>
      <c r="F261" s="9" t="str">
        <f t="shared" si="14"/>
        <v>0%</v>
      </c>
      <c r="G261" s="9" t="str">
        <f t="shared" si="13"/>
        <v>0%</v>
      </c>
      <c r="H261" s="9" t="str">
        <f t="shared" si="13"/>
        <v>0%</v>
      </c>
      <c r="I261" s="9" t="str">
        <f t="shared" si="13"/>
        <v>0%</v>
      </c>
      <c r="J261" s="9" t="str">
        <f t="shared" si="13"/>
        <v>0%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382</v>
      </c>
      <c r="R261">
        <v>1201</v>
      </c>
    </row>
    <row r="262" spans="1:18" x14ac:dyDescent="0.3">
      <c r="A262" s="3" t="s">
        <v>315</v>
      </c>
      <c r="B262">
        <v>60</v>
      </c>
      <c r="C262" t="s">
        <v>14</v>
      </c>
      <c r="D262" s="1">
        <v>44367</v>
      </c>
      <c r="E262" t="s">
        <v>382</v>
      </c>
      <c r="F262" s="9" t="str">
        <f t="shared" si="14"/>
        <v>0%</v>
      </c>
      <c r="G262" s="9" t="str">
        <f t="shared" si="13"/>
        <v>0%</v>
      </c>
      <c r="H262" s="9" t="str">
        <f t="shared" si="13"/>
        <v>0%</v>
      </c>
      <c r="I262" s="9" t="str">
        <f t="shared" si="13"/>
        <v>0%</v>
      </c>
      <c r="J262" s="9" t="str">
        <f t="shared" si="13"/>
        <v>0%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382</v>
      </c>
      <c r="R262">
        <v>1281</v>
      </c>
    </row>
    <row r="263" spans="1:18" x14ac:dyDescent="0.3">
      <c r="A263" s="3" t="s">
        <v>316</v>
      </c>
      <c r="B263">
        <v>67</v>
      </c>
      <c r="C263" t="s">
        <v>10</v>
      </c>
      <c r="D263" s="1">
        <v>44387</v>
      </c>
      <c r="E263" t="s">
        <v>382</v>
      </c>
      <c r="F263" s="9" t="str">
        <f t="shared" si="14"/>
        <v>0%</v>
      </c>
      <c r="G263" s="9" t="str">
        <f t="shared" si="13"/>
        <v>0%</v>
      </c>
      <c r="H263" s="9" t="str">
        <f t="shared" si="13"/>
        <v>0%</v>
      </c>
      <c r="I263" s="9" t="str">
        <f t="shared" si="13"/>
        <v>0%</v>
      </c>
      <c r="J263" s="9" t="str">
        <f t="shared" si="13"/>
        <v>0%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382</v>
      </c>
      <c r="R263">
        <v>1041</v>
      </c>
    </row>
    <row r="264" spans="1:18" x14ac:dyDescent="0.3">
      <c r="A264" s="3" t="s">
        <v>317</v>
      </c>
      <c r="B264">
        <v>70</v>
      </c>
      <c r="C264" t="s">
        <v>14</v>
      </c>
      <c r="D264" s="1">
        <v>44376</v>
      </c>
      <c r="E264" t="s">
        <v>382</v>
      </c>
      <c r="F264" s="9" t="str">
        <f t="shared" si="14"/>
        <v>0%</v>
      </c>
      <c r="G264" s="9" t="str">
        <f t="shared" si="13"/>
        <v>0%</v>
      </c>
      <c r="H264" s="9" t="str">
        <f t="shared" si="13"/>
        <v>0%</v>
      </c>
      <c r="I264" s="9" t="str">
        <f t="shared" si="13"/>
        <v>0%</v>
      </c>
      <c r="J264" s="9" t="str">
        <f t="shared" si="13"/>
        <v>0%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382</v>
      </c>
      <c r="R264">
        <v>1361</v>
      </c>
    </row>
    <row r="265" spans="1:18" x14ac:dyDescent="0.3">
      <c r="A265" s="3" t="s">
        <v>318</v>
      </c>
      <c r="B265">
        <v>47</v>
      </c>
      <c r="C265" t="s">
        <v>14</v>
      </c>
      <c r="D265" s="1">
        <v>44383</v>
      </c>
      <c r="E265" t="s">
        <v>382</v>
      </c>
      <c r="F265" s="9" t="str">
        <f t="shared" si="14"/>
        <v>0%</v>
      </c>
      <c r="G265" s="9" t="str">
        <f t="shared" si="13"/>
        <v>0%</v>
      </c>
      <c r="H265" s="9" t="str">
        <f t="shared" si="13"/>
        <v>0%</v>
      </c>
      <c r="I265" s="9" t="str">
        <f t="shared" si="13"/>
        <v>0%</v>
      </c>
      <c r="J265" s="9" t="str">
        <f t="shared" si="13"/>
        <v>0%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382</v>
      </c>
      <c r="R265">
        <v>901</v>
      </c>
    </row>
    <row r="266" spans="1:18" x14ac:dyDescent="0.3">
      <c r="A266" s="3" t="s">
        <v>319</v>
      </c>
      <c r="B266">
        <v>25</v>
      </c>
      <c r="C266" t="s">
        <v>14</v>
      </c>
      <c r="D266" s="1">
        <v>44462</v>
      </c>
      <c r="E266" t="s">
        <v>391</v>
      </c>
      <c r="F266" s="9" t="str">
        <f t="shared" si="14"/>
        <v>0%</v>
      </c>
      <c r="G266" s="9" t="str">
        <f t="shared" si="14"/>
        <v>0%</v>
      </c>
      <c r="H266" s="9" t="str">
        <f t="shared" si="14"/>
        <v>0%</v>
      </c>
      <c r="I266" s="9" t="str">
        <f t="shared" si="14"/>
        <v>0%</v>
      </c>
      <c r="J266" s="9" t="str">
        <f t="shared" si="14"/>
        <v>0%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382</v>
      </c>
      <c r="R266">
        <v>1301</v>
      </c>
    </row>
    <row r="267" spans="1:18" x14ac:dyDescent="0.3">
      <c r="A267" s="3" t="s">
        <v>320</v>
      </c>
      <c r="B267">
        <v>61</v>
      </c>
      <c r="C267" t="s">
        <v>14</v>
      </c>
      <c r="D267" s="1">
        <v>44371</v>
      </c>
      <c r="E267" t="s">
        <v>382</v>
      </c>
      <c r="F267" s="9" t="str">
        <f t="shared" ref="F267:J278" si="15">IF(K267=0,"0%",IF(K267=1,"&lt;5%",IF(K267=2,"5-25%",IF(K267=3,"26-49%",IF(K267=4,"50-75%",IF(K267=5,"&gt;75%"))))))</f>
        <v>0%</v>
      </c>
      <c r="G267" s="9" t="str">
        <f t="shared" si="15"/>
        <v>0%</v>
      </c>
      <c r="H267" s="9" t="str">
        <f t="shared" si="15"/>
        <v>0%</v>
      </c>
      <c r="I267" s="9" t="str">
        <f t="shared" si="15"/>
        <v>0%</v>
      </c>
      <c r="J267" s="9" t="str">
        <f t="shared" si="15"/>
        <v>0%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382</v>
      </c>
      <c r="R267">
        <v>1141</v>
      </c>
    </row>
    <row r="268" spans="1:18" x14ac:dyDescent="0.3">
      <c r="A268" s="3" t="s">
        <v>321</v>
      </c>
      <c r="B268">
        <v>81</v>
      </c>
      <c r="C268" t="s">
        <v>10</v>
      </c>
      <c r="D268" s="1">
        <v>44342</v>
      </c>
      <c r="E268" t="s">
        <v>382</v>
      </c>
      <c r="F268" s="9" t="str">
        <f t="shared" si="15"/>
        <v>0%</v>
      </c>
      <c r="G268" s="9" t="str">
        <f t="shared" si="15"/>
        <v>0%</v>
      </c>
      <c r="H268" s="9" t="str">
        <f t="shared" si="15"/>
        <v>0%</v>
      </c>
      <c r="I268" s="9" t="str">
        <f t="shared" si="15"/>
        <v>0%</v>
      </c>
      <c r="J268" s="9" t="str">
        <f t="shared" si="15"/>
        <v>0%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382</v>
      </c>
      <c r="R268">
        <v>1301</v>
      </c>
    </row>
    <row r="269" spans="1:18" x14ac:dyDescent="0.3">
      <c r="A269" s="4" t="s">
        <v>322</v>
      </c>
      <c r="B269">
        <v>56</v>
      </c>
      <c r="C269" t="s">
        <v>14</v>
      </c>
      <c r="D269" s="1">
        <v>44506</v>
      </c>
      <c r="E269" t="s">
        <v>365</v>
      </c>
      <c r="F269" s="9" t="str">
        <f t="shared" si="15"/>
        <v>0%</v>
      </c>
      <c r="G269" s="9" t="str">
        <f t="shared" si="15"/>
        <v>0%</v>
      </c>
      <c r="H269" s="9" t="str">
        <f t="shared" si="15"/>
        <v>0%</v>
      </c>
      <c r="I269" s="9" t="str">
        <f t="shared" si="15"/>
        <v>0%</v>
      </c>
      <c r="J269" s="9" t="str">
        <f t="shared" si="15"/>
        <v>0%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tr">
        <f>IF(P269=0,"normal",IF(AND(P269&gt;=1,P269&lt;=8),"mild",IF(AND(P269&gt;=9,P269&lt;=15),"moderate",IF(P269&gt;15,"severe",""))))</f>
        <v>normal</v>
      </c>
      <c r="R269">
        <v>60</v>
      </c>
    </row>
    <row r="270" spans="1:18" x14ac:dyDescent="0.3">
      <c r="A270" s="4" t="s">
        <v>323</v>
      </c>
      <c r="B270">
        <v>69</v>
      </c>
      <c r="C270" t="s">
        <v>14</v>
      </c>
      <c r="D270" s="1">
        <v>44383</v>
      </c>
      <c r="E270" t="s">
        <v>365</v>
      </c>
      <c r="F270" s="9" t="str">
        <f t="shared" si="15"/>
        <v>0%</v>
      </c>
      <c r="G270" s="9" t="str">
        <f t="shared" si="15"/>
        <v>0%</v>
      </c>
      <c r="H270" s="9" t="str">
        <f t="shared" si="15"/>
        <v>0%</v>
      </c>
      <c r="I270" s="9" t="str">
        <f t="shared" si="15"/>
        <v>0%</v>
      </c>
      <c r="J270" s="9" t="str">
        <f t="shared" si="15"/>
        <v>0%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tr">
        <f>IF(P270=0,"normal",IF(AND(P270&gt;=1,P270&lt;=8),"mild",IF(AND(P270&gt;=9,P270&lt;=15),"moderate",IF(P270&gt;15,"severe",""))))</f>
        <v>normal</v>
      </c>
      <c r="R270">
        <v>80</v>
      </c>
    </row>
    <row r="271" spans="1:18" x14ac:dyDescent="0.3">
      <c r="A271" s="4" t="s">
        <v>324</v>
      </c>
      <c r="B271">
        <v>53</v>
      </c>
      <c r="C271" t="s">
        <v>14</v>
      </c>
      <c r="D271" s="1">
        <v>44414</v>
      </c>
      <c r="E271" t="s">
        <v>365</v>
      </c>
      <c r="F271" s="9" t="str">
        <f t="shared" si="15"/>
        <v>0%</v>
      </c>
      <c r="G271" s="9" t="str">
        <f t="shared" si="15"/>
        <v>0%</v>
      </c>
      <c r="H271" s="9" t="str">
        <f t="shared" si="15"/>
        <v>0%</v>
      </c>
      <c r="I271" s="9" t="str">
        <f t="shared" si="15"/>
        <v>0%</v>
      </c>
      <c r="J271" s="9" t="str">
        <f t="shared" si="15"/>
        <v>0%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tr">
        <f>IF(P271=0,"normal",IF(AND(P271&gt;=1,P271&lt;=8),"mild",IF(AND(P271&gt;=9,P271&lt;=15),"moderate",IF(P271&gt;15,"severe",""))))</f>
        <v>normal</v>
      </c>
      <c r="R271">
        <v>67</v>
      </c>
    </row>
    <row r="272" spans="1:18" x14ac:dyDescent="0.3">
      <c r="A272" s="4" t="s">
        <v>325</v>
      </c>
      <c r="B272">
        <v>24</v>
      </c>
      <c r="C272" t="s">
        <v>10</v>
      </c>
      <c r="D272" s="1">
        <v>44362</v>
      </c>
      <c r="E272" t="s">
        <v>365</v>
      </c>
      <c r="F272" s="9" t="str">
        <f t="shared" si="15"/>
        <v>0%</v>
      </c>
      <c r="G272" s="9" t="str">
        <f t="shared" si="15"/>
        <v>0%</v>
      </c>
      <c r="H272" s="9" t="str">
        <f t="shared" si="15"/>
        <v>0%</v>
      </c>
      <c r="I272" s="9" t="str">
        <f t="shared" si="15"/>
        <v>0%</v>
      </c>
      <c r="J272" s="9" t="str">
        <f t="shared" si="15"/>
        <v>0%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tr">
        <f>IF(P272=0,"normal",IF(AND(P272&gt;=1,P272&lt;=8),"mild",IF(AND(P272&gt;=9,P272&lt;=15),"moderate",IF(P272&gt;15,"severe",""))))</f>
        <v>normal</v>
      </c>
      <c r="R272">
        <v>71</v>
      </c>
    </row>
    <row r="273" spans="1:18" x14ac:dyDescent="0.3">
      <c r="A273" s="4" t="s">
        <v>326</v>
      </c>
      <c r="B273">
        <v>35</v>
      </c>
      <c r="C273" t="s">
        <v>10</v>
      </c>
      <c r="D273" s="1">
        <v>44383</v>
      </c>
      <c r="E273" t="s">
        <v>365</v>
      </c>
      <c r="F273" s="9" t="str">
        <f t="shared" si="15"/>
        <v>0%</v>
      </c>
      <c r="G273" s="9" t="str">
        <f t="shared" si="15"/>
        <v>0%</v>
      </c>
      <c r="H273" s="9" t="str">
        <f t="shared" si="15"/>
        <v>0%</v>
      </c>
      <c r="I273" s="9" t="str">
        <f t="shared" si="15"/>
        <v>0%</v>
      </c>
      <c r="J273" s="9" t="str">
        <f t="shared" si="15"/>
        <v>0%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tr">
        <f>IF(P273=0,"normal",IF(AND(P273&gt;=1,P273&lt;=8),"mild",IF(AND(P273&gt;=9,P273&lt;=15),"moderate",IF(P273&gt;15,"severe",""))))</f>
        <v>normal</v>
      </c>
      <c r="R273">
        <v>61</v>
      </c>
    </row>
    <row r="274" spans="1:18" x14ac:dyDescent="0.3">
      <c r="A274" s="4" t="s">
        <v>327</v>
      </c>
      <c r="B274">
        <v>32</v>
      </c>
      <c r="C274" t="s">
        <v>14</v>
      </c>
      <c r="D274" s="1">
        <v>44414</v>
      </c>
      <c r="E274" t="s">
        <v>365</v>
      </c>
      <c r="F274" s="9" t="str">
        <f t="shared" si="15"/>
        <v>0%</v>
      </c>
      <c r="G274" s="9" t="str">
        <f t="shared" si="15"/>
        <v>0%</v>
      </c>
      <c r="H274" s="9" t="str">
        <f t="shared" si="15"/>
        <v>0%</v>
      </c>
      <c r="I274" s="9" t="str">
        <f t="shared" si="15"/>
        <v>0%</v>
      </c>
      <c r="J274" s="9" t="str">
        <f t="shared" si="15"/>
        <v>0%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tr">
        <f>IF(P274=0,"normal",IF(AND(P274&gt;=1,P274&lt;=8),"mild",IF(AND(P274&gt;=9,P274&lt;=15),"moderate",IF(P274&gt;15,"severe",""))))</f>
        <v>normal</v>
      </c>
      <c r="R274">
        <v>61</v>
      </c>
    </row>
    <row r="275" spans="1:18" x14ac:dyDescent="0.3">
      <c r="A275" s="4" t="s">
        <v>328</v>
      </c>
      <c r="B275">
        <v>60</v>
      </c>
      <c r="C275" t="s">
        <v>14</v>
      </c>
      <c r="D275" s="1">
        <v>44475</v>
      </c>
      <c r="E275" t="s">
        <v>365</v>
      </c>
      <c r="F275" s="9" t="str">
        <f t="shared" si="15"/>
        <v>0%</v>
      </c>
      <c r="G275" s="9" t="str">
        <f t="shared" si="15"/>
        <v>0%</v>
      </c>
      <c r="H275" s="9" t="str">
        <f t="shared" si="15"/>
        <v>0%</v>
      </c>
      <c r="I275" s="9" t="str">
        <f t="shared" si="15"/>
        <v>0%</v>
      </c>
      <c r="J275" s="9" t="str">
        <f t="shared" si="15"/>
        <v>0%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tr">
        <f>IF(P275=0,"normal",IF(AND(P275&gt;=1,P275&lt;=8),"mild",IF(AND(P275&gt;=9,P275&lt;=15),"moderate",IF(P275&gt;15,"severe",""))))</f>
        <v>normal</v>
      </c>
      <c r="R275">
        <v>59</v>
      </c>
    </row>
    <row r="276" spans="1:18" x14ac:dyDescent="0.3">
      <c r="A276" s="4" t="s">
        <v>329</v>
      </c>
      <c r="B276">
        <v>55</v>
      </c>
      <c r="C276" t="s">
        <v>14</v>
      </c>
      <c r="D276" s="1">
        <v>44383</v>
      </c>
      <c r="E276" t="s">
        <v>365</v>
      </c>
      <c r="F276" s="9" t="str">
        <f t="shared" si="15"/>
        <v>0%</v>
      </c>
      <c r="G276" s="9" t="str">
        <f t="shared" si="15"/>
        <v>0%</v>
      </c>
      <c r="H276" s="9" t="str">
        <f t="shared" si="15"/>
        <v>0%</v>
      </c>
      <c r="I276" s="9" t="str">
        <f t="shared" si="15"/>
        <v>0%</v>
      </c>
      <c r="J276" s="9" t="str">
        <f t="shared" si="15"/>
        <v>0%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tr">
        <f>IF(P276=0,"normal",IF(AND(P276&gt;=1,P276&lt;=8),"mild",IF(AND(P276&gt;=9,P276&lt;=15),"moderate",IF(P276&gt;15,"severe",""))))</f>
        <v>normal</v>
      </c>
      <c r="R276">
        <v>64</v>
      </c>
    </row>
    <row r="277" spans="1:18" x14ac:dyDescent="0.3">
      <c r="A277" s="4" t="s">
        <v>330</v>
      </c>
      <c r="B277">
        <v>54</v>
      </c>
      <c r="C277" t="s">
        <v>14</v>
      </c>
      <c r="D277" s="1">
        <v>44383</v>
      </c>
      <c r="E277" t="s">
        <v>365</v>
      </c>
      <c r="F277" s="9" t="str">
        <f t="shared" si="15"/>
        <v>0%</v>
      </c>
      <c r="G277" s="9" t="str">
        <f t="shared" si="15"/>
        <v>0%</v>
      </c>
      <c r="H277" s="9" t="str">
        <f t="shared" si="15"/>
        <v>0%</v>
      </c>
      <c r="I277" s="9" t="str">
        <f t="shared" si="15"/>
        <v>0%</v>
      </c>
      <c r="J277" s="9" t="str">
        <f t="shared" si="15"/>
        <v>0%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tr">
        <f>IF(P277=0,"normal",IF(AND(P277&gt;=1,P277&lt;=8),"mild",IF(AND(P277&gt;=9,P277&lt;=15),"moderate",IF(P277&gt;15,"severe",""))))</f>
        <v>normal</v>
      </c>
      <c r="R277">
        <v>61</v>
      </c>
    </row>
    <row r="278" spans="1:18" x14ac:dyDescent="0.3">
      <c r="A278" s="4" t="s">
        <v>331</v>
      </c>
      <c r="B278">
        <v>45</v>
      </c>
      <c r="C278" t="s">
        <v>14</v>
      </c>
      <c r="D278" s="1">
        <v>44445</v>
      </c>
      <c r="E278" t="s">
        <v>365</v>
      </c>
      <c r="F278" s="9" t="str">
        <f t="shared" si="15"/>
        <v>0%</v>
      </c>
      <c r="G278" s="9" t="str">
        <f t="shared" si="15"/>
        <v>0%</v>
      </c>
      <c r="H278" s="9" t="str">
        <f t="shared" si="15"/>
        <v>0%</v>
      </c>
      <c r="I278" s="9" t="str">
        <f t="shared" si="15"/>
        <v>0%</v>
      </c>
      <c r="J278" s="9" t="str">
        <f t="shared" si="15"/>
        <v>0%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tr">
        <f>IF(P278=0,"normal",IF(AND(P278&gt;=1,P278&lt;=8),"mild",IF(AND(P278&gt;=9,P278&lt;=15),"moderate",IF(P278&gt;15,"severe",""))))</f>
        <v>normal</v>
      </c>
      <c r="R278">
        <v>72</v>
      </c>
    </row>
    <row r="279" spans="1:18" ht="15" thickBot="1" x14ac:dyDescent="0.35">
      <c r="A279" s="4" t="s">
        <v>332</v>
      </c>
      <c r="B279">
        <v>41</v>
      </c>
      <c r="C279" t="s">
        <v>10</v>
      </c>
      <c r="D279" s="1">
        <v>44414</v>
      </c>
      <c r="E279" t="s">
        <v>365</v>
      </c>
      <c r="F279" s="9" t="str">
        <f t="shared" ref="F279" si="16">IF(K279=0,"0%",IF(K279=1,"&lt;5%",IF(K279=2,"5-25%",IF(K279=3,"26-49%",IF(K279=4,"50-75%",IF(K279=5,"&gt;75%"))))))</f>
        <v>0%</v>
      </c>
      <c r="G279" s="9" t="str">
        <f t="shared" ref="G279" si="17">IF(L279=0,"0%",IF(L279=1,"&lt;5%",IF(L279=2,"5-25%",IF(L279=3,"26-49%",IF(L279=4,"50-75%",IF(L279=5,"&gt;75%"))))))</f>
        <v>0%</v>
      </c>
      <c r="H279" s="9" t="str">
        <f t="shared" ref="H279" si="18">IF(M279=0,"0%",IF(M279=1,"&lt;5%",IF(M279=2,"5-25%",IF(M279=3,"26-49%",IF(M279=4,"50-75%",IF(M279=5,"&gt;75%"))))))</f>
        <v>0%</v>
      </c>
      <c r="I279" s="9" t="str">
        <f t="shared" ref="I279" si="19">IF(N279=0,"0%",IF(N279=1,"&lt;5%",IF(N279=2,"5-25%",IF(N279=3,"26-49%",IF(N279=4,"50-75%",IF(N279=5,"&gt;75%"))))))</f>
        <v>0%</v>
      </c>
      <c r="J279" s="9" t="str">
        <f t="shared" ref="J279" si="20">IF(O279=0,"0%",IF(O279=1,"&lt;5%",IF(O279=2,"5-25%",IF(O279=3,"26-49%",IF(O279=4,"50-75%",IF(O279=5,"&gt;75%"))))))</f>
        <v>0%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382</v>
      </c>
      <c r="R279">
        <v>80</v>
      </c>
    </row>
    <row r="280" spans="1:18" ht="18.600000000000001" thickBot="1" x14ac:dyDescent="0.4">
      <c r="J280" s="8" t="s">
        <v>376</v>
      </c>
      <c r="K280" s="8" t="s">
        <v>3</v>
      </c>
      <c r="L280" s="7" t="s">
        <v>4</v>
      </c>
      <c r="M280" s="8" t="s">
        <v>5</v>
      </c>
      <c r="N280" s="8" t="s">
        <v>6</v>
      </c>
      <c r="O280" s="8" t="s">
        <v>7</v>
      </c>
      <c r="R280">
        <f>SUM(R2:R279)</f>
        <v>263028</v>
      </c>
    </row>
    <row r="281" spans="1:18" x14ac:dyDescent="0.3">
      <c r="I281" t="s">
        <v>365</v>
      </c>
      <c r="J281">
        <v>0</v>
      </c>
      <c r="K281">
        <f>COUNTIF(K$2:K$279,$J281)</f>
        <v>54</v>
      </c>
      <c r="L281">
        <f t="shared" ref="L281:O286" si="21">COUNTIF(L$2:L$279,$J281)</f>
        <v>66</v>
      </c>
      <c r="M281">
        <f t="shared" si="21"/>
        <v>37</v>
      </c>
      <c r="N281">
        <f t="shared" si="21"/>
        <v>59</v>
      </c>
      <c r="O281">
        <f t="shared" si="21"/>
        <v>45</v>
      </c>
    </row>
    <row r="282" spans="1:18" x14ac:dyDescent="0.3">
      <c r="I282" s="32" t="s">
        <v>363</v>
      </c>
      <c r="J282">
        <v>1</v>
      </c>
      <c r="K282">
        <f t="shared" ref="K282:K286" si="22">COUNTIF(K$2:K$279,$J282)</f>
        <v>65</v>
      </c>
      <c r="L282">
        <f t="shared" si="21"/>
        <v>65</v>
      </c>
      <c r="M282">
        <f t="shared" si="21"/>
        <v>42</v>
      </c>
      <c r="N282">
        <f t="shared" si="21"/>
        <v>48</v>
      </c>
      <c r="O282">
        <f t="shared" si="21"/>
        <v>48</v>
      </c>
    </row>
    <row r="283" spans="1:18" x14ac:dyDescent="0.3">
      <c r="I283" s="32"/>
      <c r="J283">
        <v>2</v>
      </c>
      <c r="K283">
        <f t="shared" si="22"/>
        <v>84</v>
      </c>
      <c r="L283">
        <f t="shared" si="21"/>
        <v>82</v>
      </c>
      <c r="M283">
        <f t="shared" si="21"/>
        <v>85</v>
      </c>
      <c r="N283">
        <f t="shared" si="21"/>
        <v>100</v>
      </c>
      <c r="O283">
        <f t="shared" si="21"/>
        <v>71</v>
      </c>
    </row>
    <row r="284" spans="1:18" x14ac:dyDescent="0.3">
      <c r="I284" t="s">
        <v>364</v>
      </c>
      <c r="J284" s="21">
        <v>3</v>
      </c>
      <c r="K284">
        <f t="shared" si="22"/>
        <v>45</v>
      </c>
      <c r="L284">
        <f t="shared" si="21"/>
        <v>38</v>
      </c>
      <c r="M284">
        <f t="shared" si="21"/>
        <v>60</v>
      </c>
      <c r="N284">
        <f t="shared" si="21"/>
        <v>50</v>
      </c>
      <c r="O284">
        <f t="shared" si="21"/>
        <v>62</v>
      </c>
    </row>
    <row r="285" spans="1:18" x14ac:dyDescent="0.3">
      <c r="I285" t="s">
        <v>366</v>
      </c>
      <c r="J285">
        <v>4</v>
      </c>
      <c r="K285">
        <f t="shared" si="22"/>
        <v>19</v>
      </c>
      <c r="L285">
        <f t="shared" si="21"/>
        <v>14</v>
      </c>
      <c r="M285">
        <f t="shared" si="21"/>
        <v>32</v>
      </c>
      <c r="N285">
        <f t="shared" si="21"/>
        <v>15</v>
      </c>
      <c r="O285">
        <f t="shared" si="21"/>
        <v>31</v>
      </c>
    </row>
    <row r="286" spans="1:18" x14ac:dyDescent="0.3">
      <c r="J286">
        <v>5</v>
      </c>
      <c r="K286">
        <f t="shared" si="22"/>
        <v>11</v>
      </c>
      <c r="L286">
        <f t="shared" si="21"/>
        <v>13</v>
      </c>
      <c r="M286">
        <f t="shared" si="21"/>
        <v>22</v>
      </c>
      <c r="N286">
        <f t="shared" si="21"/>
        <v>6</v>
      </c>
      <c r="O286">
        <f t="shared" si="21"/>
        <v>21</v>
      </c>
    </row>
    <row r="287" spans="1:18" x14ac:dyDescent="0.3">
      <c r="J287" t="s">
        <v>375</v>
      </c>
      <c r="K287">
        <f>SUM(K281:K286)</f>
        <v>278</v>
      </c>
      <c r="L287">
        <f t="shared" ref="L287:O287" si="23">SUM(L281:L286)</f>
        <v>278</v>
      </c>
      <c r="M287">
        <f t="shared" si="23"/>
        <v>278</v>
      </c>
      <c r="N287">
        <f t="shared" si="23"/>
        <v>278</v>
      </c>
      <c r="O287">
        <f t="shared" si="23"/>
        <v>278</v>
      </c>
    </row>
    <row r="288" spans="1:18" x14ac:dyDescent="0.3">
      <c r="J288" t="s">
        <v>377</v>
      </c>
      <c r="K288">
        <f>K287-K281</f>
        <v>224</v>
      </c>
      <c r="L288">
        <f t="shared" ref="L288:O288" si="24">L287-L281</f>
        <v>212</v>
      </c>
      <c r="M288">
        <f t="shared" si="24"/>
        <v>241</v>
      </c>
      <c r="N288">
        <f t="shared" si="24"/>
        <v>219</v>
      </c>
      <c r="O288">
        <f t="shared" si="24"/>
        <v>233</v>
      </c>
    </row>
    <row r="289" spans="10:23" x14ac:dyDescent="0.3">
      <c r="J289" t="s">
        <v>392</v>
      </c>
      <c r="K289" s="21">
        <f>100*K288/248</f>
        <v>90.322580645161295</v>
      </c>
      <c r="L289" s="21">
        <f t="shared" ref="L289:O289" si="25">100*L288/248</f>
        <v>85.483870967741936</v>
      </c>
      <c r="M289" s="21">
        <f t="shared" si="25"/>
        <v>97.177419354838705</v>
      </c>
      <c r="N289" s="21">
        <f t="shared" si="25"/>
        <v>88.306451612903231</v>
      </c>
      <c r="O289" s="21">
        <f t="shared" si="25"/>
        <v>93.951612903225808</v>
      </c>
      <c r="R289" s="21"/>
    </row>
    <row r="290" spans="10:23" x14ac:dyDescent="0.3">
      <c r="R290" s="21"/>
    </row>
    <row r="291" spans="10:23" x14ac:dyDescent="0.3">
      <c r="R291" s="21"/>
    </row>
    <row r="292" spans="10:23" x14ac:dyDescent="0.3">
      <c r="R292" s="21"/>
    </row>
    <row r="293" spans="10:23" x14ac:dyDescent="0.3">
      <c r="R293" s="21"/>
    </row>
    <row r="297" spans="10:23" x14ac:dyDescent="0.3">
      <c r="Q297" s="21"/>
      <c r="R297" s="21"/>
      <c r="V297" s="21"/>
      <c r="W297" s="21"/>
    </row>
    <row r="298" spans="10:23" x14ac:dyDescent="0.3">
      <c r="Q298" s="21"/>
      <c r="R298" s="21"/>
      <c r="V298" s="21"/>
      <c r="W298" s="21"/>
    </row>
    <row r="299" spans="10:23" x14ac:dyDescent="0.3">
      <c r="Q299" s="21"/>
      <c r="R299" s="21"/>
      <c r="V299" s="21"/>
      <c r="W299" s="21"/>
    </row>
    <row r="300" spans="10:23" x14ac:dyDescent="0.3">
      <c r="Q300" s="21"/>
      <c r="R300" s="21"/>
      <c r="V300" s="21"/>
      <c r="W300" s="21"/>
    </row>
    <row r="301" spans="10:23" x14ac:dyDescent="0.3">
      <c r="Q301" s="21"/>
      <c r="R301" s="21"/>
    </row>
  </sheetData>
  <mergeCells count="1">
    <mergeCell ref="I282:I2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3207-F035-4B18-9F04-462E3C135385}">
  <dimension ref="B4:C17"/>
  <sheetViews>
    <sheetView workbookViewId="0">
      <selection activeCell="B15" sqref="B15"/>
    </sheetView>
  </sheetViews>
  <sheetFormatPr defaultRowHeight="14.4" x14ac:dyDescent="0.3"/>
  <cols>
    <col min="2" max="2" width="15.109375" customWidth="1"/>
    <col min="3" max="3" width="17.44140625" bestFit="1" customWidth="1"/>
    <col min="4" max="4" width="13.88671875" customWidth="1"/>
    <col min="5" max="5" width="17.44140625" bestFit="1" customWidth="1"/>
    <col min="6" max="6" width="10" customWidth="1"/>
    <col min="7" max="7" width="14.6640625" customWidth="1"/>
    <col min="8" max="8" width="12.33203125" customWidth="1"/>
    <col min="9" max="9" width="22.44140625" customWidth="1"/>
    <col min="10" max="10" width="12.33203125" customWidth="1"/>
    <col min="11" max="11" width="13.33203125" customWidth="1"/>
    <col min="12" max="12" width="7.88671875" customWidth="1"/>
    <col min="13" max="13" width="11.33203125" bestFit="1" customWidth="1"/>
  </cols>
  <sheetData>
    <row r="4" spans="2:3" ht="15" thickBot="1" x14ac:dyDescent="0.35"/>
    <row r="5" spans="2:3" ht="15" thickBot="1" x14ac:dyDescent="0.35">
      <c r="B5" s="14" t="s">
        <v>348</v>
      </c>
      <c r="C5" s="19" t="s">
        <v>361</v>
      </c>
    </row>
    <row r="6" spans="2:3" x14ac:dyDescent="0.3">
      <c r="B6" s="16" t="s">
        <v>362</v>
      </c>
      <c r="C6" s="17">
        <v>2</v>
      </c>
    </row>
    <row r="7" spans="2:3" x14ac:dyDescent="0.3">
      <c r="B7" s="12" t="s">
        <v>351</v>
      </c>
      <c r="C7" s="10">
        <v>6</v>
      </c>
    </row>
    <row r="8" spans="2:3" x14ac:dyDescent="0.3">
      <c r="B8" s="12" t="s">
        <v>352</v>
      </c>
      <c r="C8" s="10">
        <v>27</v>
      </c>
    </row>
    <row r="9" spans="2:3" x14ac:dyDescent="0.3">
      <c r="B9" s="12" t="s">
        <v>353</v>
      </c>
      <c r="C9" s="10">
        <v>49</v>
      </c>
    </row>
    <row r="10" spans="2:3" x14ac:dyDescent="0.3">
      <c r="B10" s="12" t="s">
        <v>354</v>
      </c>
      <c r="C10" s="10">
        <v>53</v>
      </c>
    </row>
    <row r="11" spans="2:3" x14ac:dyDescent="0.3">
      <c r="B11" s="12" t="s">
        <v>355</v>
      </c>
      <c r="C11" s="10">
        <v>60</v>
      </c>
    </row>
    <row r="12" spans="2:3" x14ac:dyDescent="0.3">
      <c r="B12" s="12" t="s">
        <v>356</v>
      </c>
      <c r="C12" s="10">
        <v>49</v>
      </c>
    </row>
    <row r="13" spans="2:3" x14ac:dyDescent="0.3">
      <c r="B13" s="12" t="s">
        <v>357</v>
      </c>
      <c r="C13" s="10">
        <v>27</v>
      </c>
    </row>
    <row r="14" spans="2:3" x14ac:dyDescent="0.3">
      <c r="B14" s="12" t="s">
        <v>358</v>
      </c>
      <c r="C14" s="10">
        <v>5</v>
      </c>
    </row>
    <row r="15" spans="2:3" x14ac:dyDescent="0.3">
      <c r="B15" s="12" t="s">
        <v>359</v>
      </c>
      <c r="C15" s="10">
        <v>0</v>
      </c>
    </row>
    <row r="16" spans="2:3" ht="15" thickBot="1" x14ac:dyDescent="0.35">
      <c r="B16" s="13" t="s">
        <v>360</v>
      </c>
      <c r="C16" s="11">
        <v>0</v>
      </c>
    </row>
    <row r="17" spans="2:3" ht="15" thickBot="1" x14ac:dyDescent="0.35">
      <c r="B17" s="20" t="s">
        <v>349</v>
      </c>
      <c r="C17" s="15">
        <v>278</v>
      </c>
    </row>
  </sheetData>
  <sortState xmlns:xlrd2="http://schemas.microsoft.com/office/spreadsheetml/2017/richdata2" ref="N14:N23">
    <sortCondition ref="N14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A0E4-EB74-40A8-A38D-67225C98F3ED}">
  <dimension ref="F7:F9"/>
  <sheetViews>
    <sheetView workbookViewId="0">
      <selection activeCell="I12" sqref="I12"/>
    </sheetView>
  </sheetViews>
  <sheetFormatPr defaultRowHeight="14.4" x14ac:dyDescent="0.3"/>
  <cols>
    <col min="1" max="1" width="14.109375" bestFit="1" customWidth="1"/>
    <col min="2" max="2" width="12.44140625" bestFit="1" customWidth="1"/>
    <col min="6" max="6" width="14.109375" bestFit="1" customWidth="1"/>
  </cols>
  <sheetData>
    <row r="7" spans="6:6" ht="15" thickBot="1" x14ac:dyDescent="0.35"/>
    <row r="8" spans="6:6" ht="15" thickBot="1" x14ac:dyDescent="0.35">
      <c r="F8" s="19" t="s">
        <v>368</v>
      </c>
    </row>
    <row r="9" spans="6:6" ht="15" thickBot="1" x14ac:dyDescent="0.35">
      <c r="F9" s="11">
        <v>50.258992805755398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66C-55F0-4097-8D30-094A21877451}">
  <dimension ref="B8:E22"/>
  <sheetViews>
    <sheetView workbookViewId="0">
      <selection activeCell="C24" sqref="C23:C24"/>
    </sheetView>
  </sheetViews>
  <sheetFormatPr defaultRowHeight="14.4" x14ac:dyDescent="0.3"/>
  <cols>
    <col min="1" max="1" width="14.5546875" customWidth="1"/>
    <col min="2" max="2" width="13.44140625" bestFit="1" customWidth="1"/>
    <col min="3" max="4" width="15.6640625" bestFit="1" customWidth="1"/>
  </cols>
  <sheetData>
    <row r="8" spans="2:4" ht="15" thickBot="1" x14ac:dyDescent="0.35"/>
    <row r="9" spans="2:4" ht="15" thickBot="1" x14ac:dyDescent="0.35">
      <c r="B9" s="26" t="s">
        <v>348</v>
      </c>
      <c r="C9" s="19" t="s">
        <v>350</v>
      </c>
    </row>
    <row r="10" spans="2:4" x14ac:dyDescent="0.3">
      <c r="B10" s="12" t="s">
        <v>14</v>
      </c>
      <c r="C10" s="24">
        <v>108</v>
      </c>
      <c r="D10" s="21">
        <f>GETPIVOTDATA("gender",$B$9,"gender","female")*100/278</f>
        <v>38.848920863309353</v>
      </c>
    </row>
    <row r="11" spans="2:4" ht="15" thickBot="1" x14ac:dyDescent="0.35">
      <c r="B11" s="13" t="s">
        <v>10</v>
      </c>
      <c r="C11" s="24">
        <v>170</v>
      </c>
      <c r="D11" s="21">
        <f>GETPIVOTDATA("gender",$B$9,"gender","male")*100/278</f>
        <v>61.151079136690647</v>
      </c>
    </row>
    <row r="12" spans="2:4" ht="15" thickBot="1" x14ac:dyDescent="0.35">
      <c r="B12" s="18" t="s">
        <v>349</v>
      </c>
      <c r="C12" s="15">
        <v>278</v>
      </c>
      <c r="D12" s="21">
        <f>SUM(D10:D11)</f>
        <v>100</v>
      </c>
    </row>
    <row r="21" spans="5:5" x14ac:dyDescent="0.3">
      <c r="E21" s="21"/>
    </row>
    <row r="22" spans="5:5" x14ac:dyDescent="0.3">
      <c r="E22" s="2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018F-418C-4324-B5F1-70BAA5198CB9}">
  <dimension ref="B3:F47"/>
  <sheetViews>
    <sheetView topLeftCell="A30" workbookViewId="0">
      <selection activeCell="I45" sqref="I45"/>
    </sheetView>
  </sheetViews>
  <sheetFormatPr defaultRowHeight="14.4" x14ac:dyDescent="0.3"/>
  <cols>
    <col min="2" max="2" width="51" bestFit="1" customWidth="1"/>
    <col min="3" max="3" width="16.6640625" bestFit="1" customWidth="1"/>
    <col min="5" max="6" width="9.5546875" bestFit="1" customWidth="1"/>
  </cols>
  <sheetData>
    <row r="3" spans="2:3" ht="15" thickBot="1" x14ac:dyDescent="0.35"/>
    <row r="4" spans="2:3" ht="15" thickBot="1" x14ac:dyDescent="0.35">
      <c r="B4" s="19" t="s">
        <v>372</v>
      </c>
      <c r="C4" s="19" t="s">
        <v>373</v>
      </c>
    </row>
    <row r="5" spans="2:3" x14ac:dyDescent="0.3">
      <c r="B5" s="16" t="s">
        <v>369</v>
      </c>
      <c r="C5" s="23">
        <v>19</v>
      </c>
    </row>
    <row r="6" spans="2:3" x14ac:dyDescent="0.3">
      <c r="B6" s="12" t="s">
        <v>20</v>
      </c>
      <c r="C6" s="24">
        <v>2</v>
      </c>
    </row>
    <row r="7" spans="2:3" x14ac:dyDescent="0.3">
      <c r="B7" s="12" t="s">
        <v>112</v>
      </c>
      <c r="C7" s="24">
        <v>16</v>
      </c>
    </row>
    <row r="8" spans="2:3" x14ac:dyDescent="0.3">
      <c r="B8" s="12" t="s">
        <v>15</v>
      </c>
      <c r="C8" s="24">
        <v>99</v>
      </c>
    </row>
    <row r="9" spans="2:3" x14ac:dyDescent="0.3">
      <c r="B9" s="12" t="s">
        <v>22</v>
      </c>
      <c r="C9" s="24">
        <v>68</v>
      </c>
    </row>
    <row r="10" spans="2:3" x14ac:dyDescent="0.3">
      <c r="B10" s="12" t="s">
        <v>68</v>
      </c>
      <c r="C10" s="24">
        <v>26</v>
      </c>
    </row>
    <row r="11" spans="2:3" x14ac:dyDescent="0.3">
      <c r="B11" s="12" t="s">
        <v>365</v>
      </c>
      <c r="C11" s="24">
        <v>14</v>
      </c>
    </row>
    <row r="12" spans="2:3" ht="15" thickBot="1" x14ac:dyDescent="0.35">
      <c r="B12" s="13" t="s">
        <v>370</v>
      </c>
      <c r="C12" s="25">
        <v>38</v>
      </c>
    </row>
    <row r="13" spans="2:3" ht="15" thickBot="1" x14ac:dyDescent="0.35">
      <c r="B13" s="27" t="s">
        <v>371</v>
      </c>
      <c r="C13" s="19">
        <f>SUM(C5:C12)</f>
        <v>282</v>
      </c>
    </row>
    <row r="30" spans="2:3" x14ac:dyDescent="0.3">
      <c r="B30" t="s">
        <v>302</v>
      </c>
      <c r="C30">
        <v>14</v>
      </c>
    </row>
    <row r="31" spans="2:3" x14ac:dyDescent="0.3">
      <c r="B31" t="s">
        <v>76</v>
      </c>
      <c r="C31">
        <v>178</v>
      </c>
    </row>
    <row r="32" spans="2:3" x14ac:dyDescent="0.3">
      <c r="B32" t="s">
        <v>20</v>
      </c>
      <c r="C32">
        <v>70</v>
      </c>
    </row>
    <row r="33" spans="2:6" x14ac:dyDescent="0.3">
      <c r="B33" t="s">
        <v>382</v>
      </c>
      <c r="C33">
        <v>16</v>
      </c>
    </row>
    <row r="37" spans="2:6" ht="15" thickBot="1" x14ac:dyDescent="0.35"/>
    <row r="38" spans="2:6" ht="15" thickBot="1" x14ac:dyDescent="0.35">
      <c r="B38" s="19" t="s">
        <v>372</v>
      </c>
      <c r="C38" s="19" t="s">
        <v>373</v>
      </c>
      <c r="E38" t="s">
        <v>383</v>
      </c>
      <c r="F38" t="s">
        <v>384</v>
      </c>
    </row>
    <row r="39" spans="2:6" x14ac:dyDescent="0.3">
      <c r="B39" s="16" t="s">
        <v>369</v>
      </c>
      <c r="C39" s="23">
        <v>19</v>
      </c>
      <c r="E39">
        <v>19</v>
      </c>
      <c r="F39">
        <v>99</v>
      </c>
    </row>
    <row r="40" spans="2:6" x14ac:dyDescent="0.3">
      <c r="B40" s="12" t="s">
        <v>68</v>
      </c>
      <c r="C40" s="24">
        <v>26</v>
      </c>
      <c r="E40">
        <v>26</v>
      </c>
      <c r="F40">
        <v>70</v>
      </c>
    </row>
    <row r="41" spans="2:6" ht="15" thickBot="1" x14ac:dyDescent="0.35">
      <c r="B41" s="13" t="s">
        <v>370</v>
      </c>
      <c r="C41" s="25">
        <v>38</v>
      </c>
      <c r="E41">
        <v>38</v>
      </c>
      <c r="F41">
        <f>SUM(F39:F40)</f>
        <v>169</v>
      </c>
    </row>
    <row r="42" spans="2:6" x14ac:dyDescent="0.3">
      <c r="B42" s="12" t="s">
        <v>15</v>
      </c>
      <c r="C42" s="24">
        <v>99</v>
      </c>
      <c r="E42">
        <v>99</v>
      </c>
    </row>
    <row r="43" spans="2:6" x14ac:dyDescent="0.3">
      <c r="B43" s="12" t="s">
        <v>22</v>
      </c>
      <c r="C43" s="24">
        <v>70</v>
      </c>
      <c r="E43">
        <v>70</v>
      </c>
    </row>
    <row r="44" spans="2:6" x14ac:dyDescent="0.3">
      <c r="B44" s="12" t="s">
        <v>112</v>
      </c>
      <c r="C44" s="24">
        <v>16</v>
      </c>
      <c r="E44">
        <f>SUM(E39:E43)</f>
        <v>252</v>
      </c>
    </row>
    <row r="45" spans="2:6" x14ac:dyDescent="0.3">
      <c r="B45" s="12" t="s">
        <v>365</v>
      </c>
      <c r="C45" s="24">
        <v>10</v>
      </c>
    </row>
    <row r="46" spans="2:6" ht="15" thickBot="1" x14ac:dyDescent="0.35"/>
    <row r="47" spans="2:6" ht="15" thickBot="1" x14ac:dyDescent="0.35">
      <c r="B47" s="27" t="s">
        <v>371</v>
      </c>
      <c r="C47" s="19">
        <f>SUM(C39:C45)</f>
        <v>278</v>
      </c>
      <c r="E47" s="21">
        <f>E44*100/278</f>
        <v>90.647482014388487</v>
      </c>
      <c r="F47" s="21">
        <f>F41*100/278</f>
        <v>60.791366906474821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3DA-C7BE-46F6-B8ED-499C90DFB78D}">
  <dimension ref="B8:C15"/>
  <sheetViews>
    <sheetView workbookViewId="0">
      <selection activeCell="C19" sqref="C19"/>
    </sheetView>
  </sheetViews>
  <sheetFormatPr defaultRowHeight="14.4" x14ac:dyDescent="0.3"/>
  <cols>
    <col min="1" max="1" width="13.44140625" bestFit="1" customWidth="1"/>
    <col min="2" max="2" width="12.44140625" bestFit="1" customWidth="1"/>
    <col min="3" max="3" width="15" bestFit="1" customWidth="1"/>
  </cols>
  <sheetData>
    <row r="8" spans="2:3" ht="15" thickBot="1" x14ac:dyDescent="0.35"/>
    <row r="9" spans="2:3" ht="16.2" thickBot="1" x14ac:dyDescent="0.35">
      <c r="B9" s="28" t="s">
        <v>334</v>
      </c>
      <c r="C9" s="29" t="s">
        <v>373</v>
      </c>
    </row>
    <row r="10" spans="2:3" ht="16.2" thickBot="1" x14ac:dyDescent="0.35">
      <c r="B10" s="30" t="s">
        <v>302</v>
      </c>
      <c r="C10" s="31">
        <v>14</v>
      </c>
    </row>
    <row r="11" spans="2:3" ht="16.2" thickBot="1" x14ac:dyDescent="0.35">
      <c r="B11" s="30" t="s">
        <v>378</v>
      </c>
      <c r="C11" s="31">
        <v>88</v>
      </c>
    </row>
    <row r="12" spans="2:3" ht="16.2" thickBot="1" x14ac:dyDescent="0.35">
      <c r="B12" s="30" t="s">
        <v>379</v>
      </c>
      <c r="C12" s="31">
        <v>112</v>
      </c>
    </row>
    <row r="13" spans="2:3" ht="16.2" thickBot="1" x14ac:dyDescent="0.35">
      <c r="B13" s="30" t="s">
        <v>380</v>
      </c>
      <c r="C13" s="31">
        <v>48</v>
      </c>
    </row>
    <row r="14" spans="2:3" ht="16.2" thickBot="1" x14ac:dyDescent="0.35">
      <c r="B14" s="30" t="s">
        <v>381</v>
      </c>
      <c r="C14" s="31">
        <v>16</v>
      </c>
    </row>
    <row r="15" spans="2:3" ht="16.2" thickBot="1" x14ac:dyDescent="0.35">
      <c r="B15" s="30"/>
      <c r="C15" s="3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A9BE-E6A1-47EB-B349-A71780BBBB9F}">
  <dimension ref="B2:C30"/>
  <sheetViews>
    <sheetView zoomScale="85" zoomScaleNormal="85" workbookViewId="0">
      <selection activeCell="P29" sqref="P29"/>
    </sheetView>
  </sheetViews>
  <sheetFormatPr defaultRowHeight="14.4" x14ac:dyDescent="0.3"/>
  <cols>
    <col min="1" max="1" width="13.44140625" bestFit="1" customWidth="1"/>
    <col min="2" max="3" width="22.5546875" bestFit="1" customWidth="1"/>
    <col min="10" max="10" width="13.44140625" bestFit="1" customWidth="1"/>
    <col min="11" max="11" width="22.5546875" bestFit="1" customWidth="1"/>
  </cols>
  <sheetData>
    <row r="2" spans="2:3" ht="15" thickBot="1" x14ac:dyDescent="0.35"/>
    <row r="3" spans="2:3" ht="15" thickBot="1" x14ac:dyDescent="0.35">
      <c r="B3" s="26" t="s">
        <v>348</v>
      </c>
      <c r="C3" s="19" t="s">
        <v>367</v>
      </c>
    </row>
    <row r="4" spans="2:3" x14ac:dyDescent="0.3">
      <c r="B4" s="12">
        <v>0</v>
      </c>
      <c r="C4" s="10">
        <v>30</v>
      </c>
    </row>
    <row r="5" spans="2:3" x14ac:dyDescent="0.3">
      <c r="B5" s="12">
        <v>1</v>
      </c>
      <c r="C5" s="10">
        <v>7</v>
      </c>
    </row>
    <row r="6" spans="2:3" x14ac:dyDescent="0.3">
      <c r="B6" s="12">
        <v>2</v>
      </c>
      <c r="C6" s="10">
        <v>14</v>
      </c>
    </row>
    <row r="7" spans="2:3" x14ac:dyDescent="0.3">
      <c r="B7" s="12">
        <v>3</v>
      </c>
      <c r="C7" s="10">
        <v>5</v>
      </c>
    </row>
    <row r="8" spans="2:3" x14ac:dyDescent="0.3">
      <c r="B8" s="12">
        <v>4</v>
      </c>
      <c r="C8" s="10">
        <v>6</v>
      </c>
    </row>
    <row r="9" spans="2:3" x14ac:dyDescent="0.3">
      <c r="B9" s="12">
        <v>5</v>
      </c>
      <c r="C9" s="10">
        <v>11</v>
      </c>
    </row>
    <row r="10" spans="2:3" x14ac:dyDescent="0.3">
      <c r="B10" s="12">
        <v>6</v>
      </c>
      <c r="C10" s="10">
        <v>16</v>
      </c>
    </row>
    <row r="11" spans="2:3" x14ac:dyDescent="0.3">
      <c r="B11" s="12">
        <v>7</v>
      </c>
      <c r="C11" s="10">
        <v>14</v>
      </c>
    </row>
    <row r="12" spans="2:3" x14ac:dyDescent="0.3">
      <c r="B12" s="12">
        <v>8</v>
      </c>
      <c r="C12" s="10">
        <v>15</v>
      </c>
    </row>
    <row r="13" spans="2:3" x14ac:dyDescent="0.3">
      <c r="B13" s="12">
        <v>9</v>
      </c>
      <c r="C13" s="10">
        <v>15</v>
      </c>
    </row>
    <row r="14" spans="2:3" x14ac:dyDescent="0.3">
      <c r="B14" s="12">
        <v>10</v>
      </c>
      <c r="C14" s="10">
        <v>21</v>
      </c>
    </row>
    <row r="15" spans="2:3" x14ac:dyDescent="0.3">
      <c r="B15" s="12">
        <v>11</v>
      </c>
      <c r="C15" s="10">
        <v>17</v>
      </c>
    </row>
    <row r="16" spans="2:3" x14ac:dyDescent="0.3">
      <c r="B16" s="12">
        <v>12</v>
      </c>
      <c r="C16" s="10">
        <v>20</v>
      </c>
    </row>
    <row r="17" spans="2:3" x14ac:dyDescent="0.3">
      <c r="B17" s="12">
        <v>13</v>
      </c>
      <c r="C17" s="10">
        <v>19</v>
      </c>
    </row>
    <row r="18" spans="2:3" x14ac:dyDescent="0.3">
      <c r="B18" s="12">
        <v>14</v>
      </c>
      <c r="C18" s="10">
        <v>16</v>
      </c>
    </row>
    <row r="19" spans="2:3" x14ac:dyDescent="0.3">
      <c r="B19" s="12">
        <v>15</v>
      </c>
      <c r="C19" s="10">
        <v>4</v>
      </c>
    </row>
    <row r="20" spans="2:3" x14ac:dyDescent="0.3">
      <c r="B20" s="12">
        <v>16</v>
      </c>
      <c r="C20" s="10">
        <v>5</v>
      </c>
    </row>
    <row r="21" spans="2:3" x14ac:dyDescent="0.3">
      <c r="B21" s="12">
        <v>17</v>
      </c>
      <c r="C21" s="10">
        <v>11</v>
      </c>
    </row>
    <row r="22" spans="2:3" x14ac:dyDescent="0.3">
      <c r="B22" s="12">
        <v>18</v>
      </c>
      <c r="C22" s="10">
        <v>5</v>
      </c>
    </row>
    <row r="23" spans="2:3" x14ac:dyDescent="0.3">
      <c r="B23" s="12">
        <v>19</v>
      </c>
      <c r="C23" s="10">
        <v>6</v>
      </c>
    </row>
    <row r="24" spans="2:3" x14ac:dyDescent="0.3">
      <c r="B24" s="12">
        <v>20</v>
      </c>
      <c r="C24" s="10">
        <v>4</v>
      </c>
    </row>
    <row r="25" spans="2:3" x14ac:dyDescent="0.3">
      <c r="B25" s="12">
        <v>21</v>
      </c>
      <c r="C25" s="10">
        <v>4</v>
      </c>
    </row>
    <row r="26" spans="2:3" x14ac:dyDescent="0.3">
      <c r="B26" s="12">
        <v>22</v>
      </c>
      <c r="C26" s="10">
        <v>5</v>
      </c>
    </row>
    <row r="27" spans="2:3" x14ac:dyDescent="0.3">
      <c r="B27" s="12">
        <v>23</v>
      </c>
      <c r="C27" s="10">
        <v>2</v>
      </c>
    </row>
    <row r="28" spans="2:3" x14ac:dyDescent="0.3">
      <c r="B28" s="12">
        <v>24</v>
      </c>
      <c r="C28" s="10">
        <v>1</v>
      </c>
    </row>
    <row r="29" spans="2:3" ht="15" thickBot="1" x14ac:dyDescent="0.35">
      <c r="B29" s="13">
        <v>25</v>
      </c>
      <c r="C29" s="11">
        <v>5</v>
      </c>
    </row>
    <row r="30" spans="2:3" ht="15" thickBot="1" x14ac:dyDescent="0.35">
      <c r="B30" s="20" t="s">
        <v>349</v>
      </c>
      <c r="C30" s="15">
        <v>278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552C-AB3C-45FB-83EF-26750FDB4D2A}">
  <dimension ref="A2:G18"/>
  <sheetViews>
    <sheetView tabSelected="1" topLeftCell="A10" workbookViewId="0">
      <selection activeCell="U15" sqref="U15"/>
    </sheetView>
  </sheetViews>
  <sheetFormatPr defaultRowHeight="14.4" x14ac:dyDescent="0.3"/>
  <cols>
    <col min="3" max="7" width="9.5546875" bestFit="1" customWidth="1"/>
  </cols>
  <sheetData>
    <row r="2" spans="1:7" x14ac:dyDescent="0.3">
      <c r="B2" t="s">
        <v>376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365</v>
      </c>
      <c r="B3">
        <v>0</v>
      </c>
      <c r="C3">
        <v>54</v>
      </c>
      <c r="D3">
        <v>66</v>
      </c>
      <c r="E3">
        <v>37</v>
      </c>
      <c r="F3">
        <v>59</v>
      </c>
      <c r="G3">
        <v>45</v>
      </c>
    </row>
    <row r="4" spans="1:7" x14ac:dyDescent="0.3">
      <c r="A4" t="s">
        <v>363</v>
      </c>
      <c r="B4">
        <v>1</v>
      </c>
      <c r="C4">
        <v>65</v>
      </c>
      <c r="D4">
        <v>65</v>
      </c>
      <c r="E4">
        <v>42</v>
      </c>
      <c r="F4">
        <v>48</v>
      </c>
      <c r="G4">
        <v>48</v>
      </c>
    </row>
    <row r="5" spans="1:7" x14ac:dyDescent="0.3">
      <c r="B5">
        <v>2</v>
      </c>
      <c r="C5">
        <v>84</v>
      </c>
      <c r="D5">
        <v>82</v>
      </c>
      <c r="E5">
        <v>85</v>
      </c>
      <c r="F5">
        <v>100</v>
      </c>
      <c r="G5">
        <v>71</v>
      </c>
    </row>
    <row r="6" spans="1:7" x14ac:dyDescent="0.3">
      <c r="A6" t="s">
        <v>364</v>
      </c>
      <c r="B6">
        <v>3</v>
      </c>
      <c r="C6">
        <v>45</v>
      </c>
      <c r="D6">
        <v>38</v>
      </c>
      <c r="E6">
        <v>60</v>
      </c>
      <c r="F6">
        <v>50</v>
      </c>
      <c r="G6">
        <v>62</v>
      </c>
    </row>
    <row r="7" spans="1:7" x14ac:dyDescent="0.3">
      <c r="A7" t="s">
        <v>366</v>
      </c>
      <c r="B7">
        <v>4</v>
      </c>
      <c r="C7">
        <v>19</v>
      </c>
      <c r="D7">
        <v>14</v>
      </c>
      <c r="E7">
        <v>32</v>
      </c>
      <c r="F7">
        <v>15</v>
      </c>
      <c r="G7">
        <v>31</v>
      </c>
    </row>
    <row r="8" spans="1:7" x14ac:dyDescent="0.3">
      <c r="B8">
        <v>5</v>
      </c>
      <c r="C8">
        <v>11</v>
      </c>
      <c r="D8">
        <v>13</v>
      </c>
      <c r="E8">
        <v>22</v>
      </c>
      <c r="F8">
        <v>6</v>
      </c>
      <c r="G8">
        <v>21</v>
      </c>
    </row>
    <row r="9" spans="1:7" x14ac:dyDescent="0.3">
      <c r="B9" t="s">
        <v>375</v>
      </c>
      <c r="C9">
        <v>278</v>
      </c>
      <c r="D9">
        <v>278</v>
      </c>
      <c r="E9">
        <v>278</v>
      </c>
      <c r="F9">
        <v>278</v>
      </c>
      <c r="G9">
        <v>278</v>
      </c>
    </row>
    <row r="10" spans="1:7" x14ac:dyDescent="0.3">
      <c r="B10" t="s">
        <v>377</v>
      </c>
      <c r="C10">
        <v>224</v>
      </c>
      <c r="D10">
        <v>212</v>
      </c>
      <c r="E10">
        <v>241</v>
      </c>
      <c r="F10">
        <v>219</v>
      </c>
      <c r="G10">
        <v>233</v>
      </c>
    </row>
    <row r="11" spans="1:7" x14ac:dyDescent="0.3">
      <c r="B11" t="s">
        <v>392</v>
      </c>
      <c r="C11" s="21">
        <v>90.322580645161295</v>
      </c>
      <c r="D11" s="21">
        <v>85.483870967741936</v>
      </c>
      <c r="E11" s="21">
        <v>97.177419354838705</v>
      </c>
      <c r="F11" s="21">
        <v>88.306451612903231</v>
      </c>
      <c r="G11" s="21">
        <v>93.951612903225808</v>
      </c>
    </row>
    <row r="16" spans="1:7" x14ac:dyDescent="0.3">
      <c r="B16" t="s">
        <v>3</v>
      </c>
      <c r="C16" t="s">
        <v>4</v>
      </c>
      <c r="D16" t="s">
        <v>5</v>
      </c>
      <c r="E16" t="s">
        <v>6</v>
      </c>
      <c r="F16" t="s">
        <v>7</v>
      </c>
    </row>
    <row r="17" spans="2:6" x14ac:dyDescent="0.3">
      <c r="B17" t="s">
        <v>385</v>
      </c>
      <c r="C17" t="s">
        <v>386</v>
      </c>
      <c r="D17" t="s">
        <v>387</v>
      </c>
      <c r="E17" t="s">
        <v>388</v>
      </c>
      <c r="F17" t="s">
        <v>389</v>
      </c>
    </row>
    <row r="18" spans="2:6" x14ac:dyDescent="0.3">
      <c r="B18" s="21">
        <v>90.322580645161295</v>
      </c>
      <c r="C18" s="21">
        <v>85.483870967741936</v>
      </c>
      <c r="D18" s="21">
        <v>97.177419354838705</v>
      </c>
      <c r="E18" s="21">
        <v>88.306451612903231</v>
      </c>
      <c r="F18" s="21">
        <v>93.951612903225808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</vt:lpstr>
      <vt:lpstr>Age Frequency</vt:lpstr>
      <vt:lpstr>Avg Age</vt:lpstr>
      <vt:lpstr>Gender frequency</vt:lpstr>
      <vt:lpstr>Findingss</vt:lpstr>
      <vt:lpstr>Severity Frequency</vt:lpstr>
      <vt:lpstr>CT SCORE FREQUENCY</vt:lpstr>
      <vt:lpstr>Lobar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Aditya.Dhanshetti</dc:creator>
  <cp:lastModifiedBy>Darshan Deepak Ruikar</cp:lastModifiedBy>
  <dcterms:created xsi:type="dcterms:W3CDTF">2024-07-06T07:14:07Z</dcterms:created>
  <dcterms:modified xsi:type="dcterms:W3CDTF">2024-09-08T09:59:23Z</dcterms:modified>
</cp:coreProperties>
</file>